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metadata.xml" ContentType="application/vnd.openxmlformats-officedocument.spreadsheetml.sheetMetadata+xml"/>
  <Override PartName="/xl/activeX/activeX5.bin" ContentType="application/vnd.ms-office.activeX"/>
  <Override PartName="/xl/activeX/activeX6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activeX/activeX3.bin" ContentType="application/vnd.ms-office.activeX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/>
  <bookViews>
    <workbookView xWindow="-120" yWindow="-120" windowWidth="29040" windowHeight="15840" tabRatio="743" activeTab="3"/>
  </bookViews>
  <sheets>
    <sheet name="Включение макросов" sheetId="6" r:id="rId1"/>
    <sheet name="Версии" sheetId="10" r:id="rId2"/>
    <sheet name="Настройки" sheetId="1" r:id="rId3"/>
    <sheet name="Переменные" sheetId="2" r:id="rId4"/>
    <sheet name="Переменные таблиц" sheetId="9" r:id="rId5"/>
    <sheet name="Табл Спецификация" sheetId="7" r:id="rId6"/>
    <sheet name="Табл Test1" sheetId="11" r:id="rId7"/>
    <sheet name="Табл Test2" sheetId="13" r:id="rId8"/>
  </sheets>
  <functionGroups/>
  <definedNames>
    <definedName name="CBWorkbookPriority" hidden="1">-1751318906</definedName>
    <definedName name="copy_tables_to_word">Настройки!$B$12</definedName>
    <definedName name="create_pdf">Настройки!$B$9</definedName>
    <definedName name="merge_pdf">Настройки!$B$10</definedName>
    <definedName name="merged_pdf_filename">Настройки!$B$14</definedName>
    <definedName name="name_template">Настройки!$B$8</definedName>
    <definedName name="open_dest_folder">Настройки!$B$13</definedName>
    <definedName name="pdf_merge_program">Настройки!$B$11</definedName>
    <definedName name="save_folder_path">Настройки!$B$6</definedName>
    <definedName name="save_var_on_sync">Настройки!$B$7</definedName>
    <definedName name="template_name">Настройки!$B$5</definedName>
    <definedName name="template_path">Настройки!$B$4</definedName>
    <definedName name="var_format">Настройки!$B$3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/>
  <c r="E5"/>
  <c r="E6"/>
  <c r="E7"/>
  <c r="E8"/>
  <c r="E9"/>
  <c r="E10"/>
  <c r="E11"/>
  <c r="E12"/>
  <c r="E13"/>
  <c r="E14"/>
  <c r="E15"/>
  <c r="E16"/>
  <c r="E17"/>
  <c r="E18"/>
  <c r="A5" i="9" a="1"/>
  <c r="A5" s="1"/>
  <c r="A6" a="1"/>
  <c r="A6" s="1"/>
  <c r="A4" a="1"/>
  <c r="A4" s="1"/>
  <c r="B49" i="7" l="1"/>
  <c r="B50"/>
  <c r="C49"/>
  <c r="C50"/>
  <c r="D49"/>
  <c r="D50"/>
  <c r="E49"/>
  <c r="E50"/>
  <c r="F49"/>
  <c r="F50"/>
  <c r="B48"/>
  <c r="C48"/>
  <c r="D48"/>
  <c r="E48"/>
  <c r="F48"/>
  <c r="B46"/>
  <c r="B47"/>
  <c r="C46"/>
  <c r="C47"/>
  <c r="D46"/>
  <c r="D47"/>
  <c r="E46"/>
  <c r="E47"/>
  <c r="F46"/>
  <c r="F47"/>
  <c r="B45"/>
  <c r="C45"/>
  <c r="D45"/>
  <c r="E45"/>
  <c r="F45"/>
  <c r="B43"/>
  <c r="B44"/>
  <c r="C43"/>
  <c r="C44"/>
  <c r="D43"/>
  <c r="D44"/>
  <c r="E43"/>
  <c r="E44"/>
  <c r="F43"/>
  <c r="F44"/>
  <c r="B42"/>
  <c r="C42"/>
  <c r="D42"/>
  <c r="E42"/>
  <c r="F42"/>
  <c r="B40"/>
  <c r="B41"/>
  <c r="C40"/>
  <c r="C41"/>
  <c r="D40"/>
  <c r="D41"/>
  <c r="E40"/>
  <c r="E41"/>
  <c r="F40"/>
  <c r="F41"/>
  <c r="B39"/>
  <c r="C39"/>
  <c r="D39"/>
  <c r="E39"/>
  <c r="F39"/>
  <c r="B37"/>
  <c r="B38"/>
  <c r="C37"/>
  <c r="C38"/>
  <c r="D37"/>
  <c r="D38"/>
  <c r="E37"/>
  <c r="E38"/>
  <c r="F37"/>
  <c r="F38"/>
  <c r="B36"/>
  <c r="C36"/>
  <c r="D36"/>
  <c r="E36"/>
  <c r="F36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D4" i="2"/>
  <c r="D5"/>
  <c r="D6"/>
  <c r="D7"/>
  <c r="D8"/>
  <c r="D9"/>
  <c r="D10"/>
  <c r="D11"/>
  <c r="D12"/>
  <c r="D13"/>
  <c r="D14"/>
  <c r="D15"/>
  <c r="D16"/>
  <c r="D17"/>
  <c r="D18"/>
  <c r="C4"/>
  <c r="C5"/>
  <c r="C6"/>
  <c r="C7"/>
  <c r="C8"/>
  <c r="C9"/>
  <c r="C10"/>
  <c r="C11"/>
  <c r="C12"/>
  <c r="C13"/>
  <c r="C14"/>
  <c r="C15"/>
  <c r="C16"/>
  <c r="C17"/>
  <c r="C18"/>
  <c r="B4"/>
  <c r="B5"/>
  <c r="B6"/>
  <c r="B7"/>
  <c r="B8"/>
  <c r="B9"/>
  <c r="B10"/>
  <c r="B11"/>
  <c r="B12"/>
  <c r="B13"/>
  <c r="B14"/>
  <c r="B15"/>
  <c r="B16"/>
  <c r="B17"/>
  <c r="B18"/>
  <c r="A4" a="1"/>
  <c r="A4" s="1"/>
  <c r="A5" a="1"/>
  <c r="A5" s="1"/>
  <c r="A6" a="1"/>
  <c r="A6" s="1"/>
  <c r="A7" a="1"/>
  <c r="A7" s="1"/>
  <c r="A8" a="1"/>
  <c r="A8" s="1"/>
  <c r="A9" a="1"/>
  <c r="A9" s="1"/>
  <c r="A10" a="1"/>
  <c r="A10" s="1"/>
  <c r="A11" a="1"/>
  <c r="A11" s="1"/>
  <c r="A12" a="1"/>
  <c r="A12" s="1"/>
  <c r="A13" a="1"/>
  <c r="A13" s="1"/>
  <c r="A14" a="1"/>
  <c r="A14" s="1"/>
  <c r="A15" a="1"/>
  <c r="A15" s="1"/>
  <c r="A16" a="1"/>
  <c r="A16" s="1"/>
  <c r="A17" a="1"/>
  <c r="A17" s="1"/>
  <c r="A18" a="1"/>
  <c r="A18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<sst xmlns="http://schemas.openxmlformats.org/spreadsheetml/2006/main" count="376" uniqueCount="362">
  <si>
    <t>TXT_BEFORE</t>
  </si>
  <si>
    <t>T1</t>
  </si>
  <si>
    <t>T2</t>
  </si>
  <si>
    <t>T3</t>
  </si>
  <si>
    <t>T4</t>
  </si>
  <si>
    <t>TXT</t>
  </si>
  <si>
    <t>TXT_BEFORE_VAL1</t>
  </si>
  <si>
    <t>TXT_BEFORE_VAL2</t>
  </si>
  <si>
    <t>TXT_BEFORE_VAL3</t>
  </si>
  <si>
    <t>TXT_BEFORE_VAL4</t>
  </si>
  <si>
    <t>TXT_BEFORE_VAL5</t>
  </si>
  <si>
    <t>TXT_BEFORE_VAL6</t>
  </si>
  <si>
    <t>TXT_BEFORE_VAL7</t>
  </si>
  <si>
    <t>TXT_BEFORE_VAL8</t>
  </si>
  <si>
    <t>TXT_BEFORE_VAL9</t>
  </si>
  <si>
    <t>TXT_BEFORE_VAL10</t>
  </si>
  <si>
    <t>TXT_BEFORE_VAL11</t>
  </si>
  <si>
    <t>TXT_BEFORE_VAL12</t>
  </si>
  <si>
    <t>TXT_BEFORE_VAL13</t>
  </si>
  <si>
    <t>TXT_BEFORE_VAL14</t>
  </si>
  <si>
    <t>TXT_BEFORE_VAL15</t>
  </si>
  <si>
    <t>T1_VAL1</t>
  </si>
  <si>
    <t>T2_VAL2</t>
  </si>
  <si>
    <t>T3_VAL3</t>
  </si>
  <si>
    <t>T4_VAL4</t>
  </si>
  <si>
    <t>T2_VAL1</t>
  </si>
  <si>
    <t>T2_VAL3</t>
  </si>
  <si>
    <t>T2_VAL4</t>
  </si>
  <si>
    <t>T2_VAL5</t>
  </si>
  <si>
    <t>T2_VAL6</t>
  </si>
  <si>
    <t>T2_VAL7</t>
  </si>
  <si>
    <t>T2_VAL8</t>
  </si>
  <si>
    <t>T2_VAL9</t>
  </si>
  <si>
    <t>T2_VAL10</t>
  </si>
  <si>
    <t>T2_VAL11</t>
  </si>
  <si>
    <t>T2_VAL12</t>
  </si>
  <si>
    <t>T2_VAL13</t>
  </si>
  <si>
    <t>T2_VAL14</t>
  </si>
  <si>
    <t>T2_VAL15</t>
  </si>
  <si>
    <t>T3_VAL1</t>
  </si>
  <si>
    <t>T3_VAL2</t>
  </si>
  <si>
    <t>T3_VAL4</t>
  </si>
  <si>
    <t>T3_VAL5</t>
  </si>
  <si>
    <t>T3_VAL6</t>
  </si>
  <si>
    <t>T3_VAL7</t>
  </si>
  <si>
    <t>T3_VAL8</t>
  </si>
  <si>
    <t>T3_VAL9</t>
  </si>
  <si>
    <t>T3_VAL10</t>
  </si>
  <si>
    <t>T3_VAL11</t>
  </si>
  <si>
    <t>T3_VAL12</t>
  </si>
  <si>
    <t>T3_VAL13</t>
  </si>
  <si>
    <t>T3_VAL14</t>
  </si>
  <si>
    <t>T3_VAL15</t>
  </si>
  <si>
    <t>T4_VAL1</t>
  </si>
  <si>
    <t>T4_VAL2</t>
  </si>
  <si>
    <t>T4_VAL3</t>
  </si>
  <si>
    <t>T4_VAL5</t>
  </si>
  <si>
    <t>T4_VAL6</t>
  </si>
  <si>
    <t>T4_VAL7</t>
  </si>
  <si>
    <t>T4_VAL8</t>
  </si>
  <si>
    <t>T4_VAL9</t>
  </si>
  <si>
    <t>T4_VAL10</t>
  </si>
  <si>
    <t>T4_VAL11</t>
  </si>
  <si>
    <t>T4_VAL12</t>
  </si>
  <si>
    <t>T4_VAL13</t>
  </si>
  <si>
    <t>T4_VAL14</t>
  </si>
  <si>
    <t>T4_VAL15</t>
  </si>
  <si>
    <t>TXT_VAL1</t>
  </si>
  <si>
    <t>TXT_VAL2</t>
  </si>
  <si>
    <t>TXT_VAL3</t>
  </si>
  <si>
    <t>TXT_VAL4</t>
  </si>
  <si>
    <t>TXT_VAL5</t>
  </si>
  <si>
    <t>TXT_VAL6</t>
  </si>
  <si>
    <t>TXT_VAL7</t>
  </si>
  <si>
    <t>TXT_VAL8</t>
  </si>
  <si>
    <t>TXT_VAL9</t>
  </si>
  <si>
    <t>TXT_VAL10</t>
  </si>
  <si>
    <t>TXT_VAL11</t>
  </si>
  <si>
    <t>TXT_VAL12</t>
  </si>
  <si>
    <t>TXT_VAL13</t>
  </si>
  <si>
    <t>TXT_VAL14</t>
  </si>
  <si>
    <t>TXT_VAL15</t>
  </si>
  <si>
    <t>T1_VAL2</t>
  </si>
  <si>
    <t>T1_VAL3</t>
  </si>
  <si>
    <t>T1_VAL4</t>
  </si>
  <si>
    <t>T1_VAL5</t>
  </si>
  <si>
    <t>T1_VAL6</t>
  </si>
  <si>
    <t>T1_VAL7</t>
  </si>
  <si>
    <t>T1_VAL8</t>
  </si>
  <si>
    <t>T1_VAL9</t>
  </si>
  <si>
    <t>T1_VAL10</t>
  </si>
  <si>
    <t>T1_VAL11</t>
  </si>
  <si>
    <t>T1_VAL12</t>
  </si>
  <si>
    <t>T1_VAL13</t>
  </si>
  <si>
    <t>T1_VAL14</t>
  </si>
  <si>
    <t>T1_VAL15</t>
  </si>
  <si>
    <t>Формат имени переменных в шаблоне</t>
  </si>
  <si>
    <t>Путь к шаблону</t>
  </si>
  <si>
    <t>Путь к папке сохранения</t>
  </si>
  <si>
    <t>Шаблон имени заполненных файлов</t>
  </si>
  <si>
    <t>*Имя шаблона*</t>
  </si>
  <si>
    <t>*TEST1*</t>
  </si>
  <si>
    <t>Вариант 1. При открытии файла сверху выводится сообщение на красном фоне:</t>
  </si>
  <si>
    <t xml:space="preserve"> "РИСК БЕЗОПАСНОСТИ. Корпорация Майкрософт заблокировала запуск макросов, так как источник этого файла не является доверенным."</t>
  </si>
  <si>
    <t>1. Открыть свойства файла (кликнуть правой кнопкой мыши по файлу/Свойства)</t>
  </si>
  <si>
    <t>2. На вкладке "Общие" поставить галочку "Разблокировать" / OK</t>
  </si>
  <si>
    <t>Более подробно см.:</t>
  </si>
  <si>
    <t>https://www.planetaexcel.ru/techniques/3/24383/</t>
  </si>
  <si>
    <t>Вариант 2.  При открытии файла сверху выводится сообщение на жёлтом фоне:</t>
  </si>
  <si>
    <t>"ПРЕДУПРЕЖДЕНИЕ СИСТЕМЫ БЕЗОПАСНОСТИ. Запуск активного содержимого отключен. Щелкните для получения дополнительных сведений"</t>
  </si>
  <si>
    <t>Нажать кнопку "Включить содержимое", макросы в файле станут работать.</t>
  </si>
  <si>
    <t>Если сохранить файл, кнопку нажимать повторно не потребуется.</t>
  </si>
  <si>
    <t>Вариант 3. Никакого сообщения не выводится.</t>
  </si>
  <si>
    <t>1. Зайти в настройки Excel: Файл/Параметры</t>
  </si>
  <si>
    <t>2. В окне "Параметры Excel": Центр управления безопасностью / Параметры центра управления безопасностью...</t>
  </si>
  <si>
    <t>3. В окне "Центр управления безопасностью": Параметры макросов / Отключить макросы VBA с уведомлением</t>
  </si>
  <si>
    <t>4. Сохранить изменения в настройках, перезапустить данный файл. Будет выведено сообщение на жёлтом фоне, как в варианте 2</t>
  </si>
  <si>
    <t>Инструкция по запуску макросов</t>
  </si>
  <si>
    <t>Сохранить значения при синхронизации</t>
  </si>
  <si>
    <t>TEST1-1</t>
  </si>
  <si>
    <t>TEST1-2</t>
  </si>
  <si>
    <t>TEST1-3</t>
  </si>
  <si>
    <t>TEST1-4</t>
  </si>
  <si>
    <t>TEST1-5</t>
  </si>
  <si>
    <t>TEST1-6</t>
  </si>
  <si>
    <t>TEST1-7</t>
  </si>
  <si>
    <t>TEST1-8</t>
  </si>
  <si>
    <t>TEST1-9</t>
  </si>
  <si>
    <t>TEST1-10</t>
  </si>
  <si>
    <t>TEST1-11</t>
  </si>
  <si>
    <t>TEST1-12</t>
  </si>
  <si>
    <t>TEST1-13</t>
  </si>
  <si>
    <t>TEST1-14</t>
  </si>
  <si>
    <t>TEST1-15</t>
  </si>
  <si>
    <t>*Сегодня*</t>
  </si>
  <si>
    <t>*Сегодня 2*</t>
  </si>
  <si>
    <t>Имя переменной таблицы</t>
  </si>
  <si>
    <t>Артикул</t>
  </si>
  <si>
    <t>Наименование</t>
  </si>
  <si>
    <t>Кол-во, шт</t>
  </si>
  <si>
    <t>Ед. изм.</t>
  </si>
  <si>
    <t>Производитель</t>
  </si>
  <si>
    <t>&lt;имя&gt;</t>
  </si>
  <si>
    <t>Спецификация</t>
  </si>
  <si>
    <t>Переменные</t>
  </si>
  <si>
    <t>Дата релиза</t>
  </si>
  <si>
    <t>1.0</t>
  </si>
  <si>
    <t>Комментарий</t>
  </si>
  <si>
    <t>Test1</t>
  </si>
  <si>
    <t>Test2</t>
  </si>
  <si>
    <t>Переменные таблиц</t>
  </si>
  <si>
    <t>TEST21</t>
  </si>
  <si>
    <t>TEST22</t>
  </si>
  <si>
    <t>TEST11</t>
  </si>
  <si>
    <t>TEST12</t>
  </si>
  <si>
    <t>1B1</t>
  </si>
  <si>
    <t>2B2</t>
  </si>
  <si>
    <t>1A1</t>
  </si>
  <si>
    <t>2A2</t>
  </si>
  <si>
    <t>1A2</t>
  </si>
  <si>
    <t>1B2</t>
  </si>
  <si>
    <t>1A3</t>
  </si>
  <si>
    <t>1B3</t>
  </si>
  <si>
    <t>1A4</t>
  </si>
  <si>
    <t>1B4</t>
  </si>
  <si>
    <t>1A5</t>
  </si>
  <si>
    <t>1B5</t>
  </si>
  <si>
    <t>1A6</t>
  </si>
  <si>
    <t>1B6</t>
  </si>
  <si>
    <t>1A7</t>
  </si>
  <si>
    <t>1B7</t>
  </si>
  <si>
    <t>1A8</t>
  </si>
  <si>
    <t>1B8</t>
  </si>
  <si>
    <t>1A9</t>
  </si>
  <si>
    <t>1B9</t>
  </si>
  <si>
    <t>1A10</t>
  </si>
  <si>
    <t>1B10</t>
  </si>
  <si>
    <t>1A11</t>
  </si>
  <si>
    <t>1B11</t>
  </si>
  <si>
    <t>1A12</t>
  </si>
  <si>
    <t>1B12</t>
  </si>
  <si>
    <t>1A13</t>
  </si>
  <si>
    <t>1B13</t>
  </si>
  <si>
    <t>1A14</t>
  </si>
  <si>
    <t>1B14</t>
  </si>
  <si>
    <t>1A15</t>
  </si>
  <si>
    <t>1B15</t>
  </si>
  <si>
    <t>1A16</t>
  </si>
  <si>
    <t>1B16</t>
  </si>
  <si>
    <t>1A17</t>
  </si>
  <si>
    <t>1B17</t>
  </si>
  <si>
    <t>1A18</t>
  </si>
  <si>
    <t>1B18</t>
  </si>
  <si>
    <t>1A19</t>
  </si>
  <si>
    <t>1B19</t>
  </si>
  <si>
    <t>1A20</t>
  </si>
  <si>
    <t>1B20</t>
  </si>
  <si>
    <t>1A21</t>
  </si>
  <si>
    <t>1B21</t>
  </si>
  <si>
    <t>1A22</t>
  </si>
  <si>
    <t>1B22</t>
  </si>
  <si>
    <t>1A23</t>
  </si>
  <si>
    <t>1B23</t>
  </si>
  <si>
    <t>1A24</t>
  </si>
  <si>
    <t>1B24</t>
  </si>
  <si>
    <t>1A25</t>
  </si>
  <si>
    <t>1B25</t>
  </si>
  <si>
    <t>1A26</t>
  </si>
  <si>
    <t>1B26</t>
  </si>
  <si>
    <t>1A27</t>
  </si>
  <si>
    <t>1B27</t>
  </si>
  <si>
    <t>1A28</t>
  </si>
  <si>
    <t>1B28</t>
  </si>
  <si>
    <t>1A29</t>
  </si>
  <si>
    <t>1B29</t>
  </si>
  <si>
    <t>1A30</t>
  </si>
  <si>
    <t>1B30</t>
  </si>
  <si>
    <t>2A1</t>
  </si>
  <si>
    <t>2A3</t>
  </si>
  <si>
    <t>2A4</t>
  </si>
  <si>
    <t>2A5</t>
  </si>
  <si>
    <t>2A6</t>
  </si>
  <si>
    <t>2A7</t>
  </si>
  <si>
    <t>2A8</t>
  </si>
  <si>
    <t>2A9</t>
  </si>
  <si>
    <t>2A10</t>
  </si>
  <si>
    <t>2A11</t>
  </si>
  <si>
    <t>2A12</t>
  </si>
  <si>
    <t>2A13</t>
  </si>
  <si>
    <t>2B1</t>
  </si>
  <si>
    <t>2B3</t>
  </si>
  <si>
    <t>2B4</t>
  </si>
  <si>
    <t>2B5</t>
  </si>
  <si>
    <t>2B6</t>
  </si>
  <si>
    <t>2B7</t>
  </si>
  <si>
    <t>2B8</t>
  </si>
  <si>
    <t>2B9</t>
  </si>
  <si>
    <t>2B10</t>
  </si>
  <si>
    <t>2B11</t>
  </si>
  <si>
    <t>2B12</t>
  </si>
  <si>
    <t>2B13</t>
  </si>
  <si>
    <t>2A14</t>
  </si>
  <si>
    <t>2B14</t>
  </si>
  <si>
    <t>2A15</t>
  </si>
  <si>
    <t>2B15</t>
  </si>
  <si>
    <t>2A16</t>
  </si>
  <si>
    <t>2B16</t>
  </si>
  <si>
    <t>2A17</t>
  </si>
  <si>
    <t>2B17</t>
  </si>
  <si>
    <t>2A18</t>
  </si>
  <si>
    <t>2B18</t>
  </si>
  <si>
    <t>2A19</t>
  </si>
  <si>
    <t>2B19</t>
  </si>
  <si>
    <t>2A20</t>
  </si>
  <si>
    <t>2B20</t>
  </si>
  <si>
    <t>2A21</t>
  </si>
  <si>
    <t>2B21</t>
  </si>
  <si>
    <t>2A22</t>
  </si>
  <si>
    <t>2B22</t>
  </si>
  <si>
    <t>2A23</t>
  </si>
  <si>
    <t>2B23</t>
  </si>
  <si>
    <t>2A24</t>
  </si>
  <si>
    <t>2B24</t>
  </si>
  <si>
    <t>2A25</t>
  </si>
  <si>
    <t>2B25</t>
  </si>
  <si>
    <t>2A26</t>
  </si>
  <si>
    <t>2B26</t>
  </si>
  <si>
    <t>2A27</t>
  </si>
  <si>
    <t>2B27</t>
  </si>
  <si>
    <t>2A28</t>
  </si>
  <si>
    <t>2B28</t>
  </si>
  <si>
    <t>2A29</t>
  </si>
  <si>
    <t>2B29</t>
  </si>
  <si>
    <t>2A30</t>
  </si>
  <si>
    <t>2B30</t>
  </si>
  <si>
    <t>Вставлять в Word целиком</t>
  </si>
  <si>
    <t>Объединить pdf в один файл</t>
  </si>
  <si>
    <t>Создать pdf файлы паспортов</t>
  </si>
  <si>
    <t>Программа для слияния pdf</t>
  </si>
  <si>
    <t>PDFCreator</t>
  </si>
  <si>
    <t>Табл Спецификация</t>
  </si>
  <si>
    <t>Табл Test1</t>
  </si>
  <si>
    <t>Табл Test2</t>
  </si>
  <si>
    <t>Имена обязаны начинаться с "TABLE "</t>
  </si>
  <si>
    <t>Not it template 1</t>
  </si>
  <si>
    <t>Not in template 2</t>
  </si>
  <si>
    <t>NIT1.1</t>
  </si>
  <si>
    <t>NIT2.1</t>
  </si>
  <si>
    <t>NIT1.2</t>
  </si>
  <si>
    <t>NIT2.2</t>
  </si>
  <si>
    <t>NIT1.3</t>
  </si>
  <si>
    <t>NIT2.3</t>
  </si>
  <si>
    <t>NIT1.4</t>
  </si>
  <si>
    <t>NIT2.4</t>
  </si>
  <si>
    <t>NIT1.5</t>
  </si>
  <si>
    <t>NIT2.5</t>
  </si>
  <si>
    <t>NIT1.6</t>
  </si>
  <si>
    <t>NIT2.6</t>
  </si>
  <si>
    <t>NIT1.7</t>
  </si>
  <si>
    <t>NIT2.7</t>
  </si>
  <si>
    <t>NIT1.8</t>
  </si>
  <si>
    <t>NIT2.8</t>
  </si>
  <si>
    <t>NIT1.9</t>
  </si>
  <si>
    <t>NIT2.9</t>
  </si>
  <si>
    <t>NIT1.10</t>
  </si>
  <si>
    <t>NIT2.10</t>
  </si>
  <si>
    <t>NIT1.11</t>
  </si>
  <si>
    <t>NIT2.11</t>
  </si>
  <si>
    <t>NIT1.12</t>
  </si>
  <si>
    <t>NIT2.12</t>
  </si>
  <si>
    <t>NIT1.13</t>
  </si>
  <si>
    <t>NIT2.13</t>
  </si>
  <si>
    <t>NIT1.14</t>
  </si>
  <si>
    <t>NIT2.14</t>
  </si>
  <si>
    <t>NIT1.15</t>
  </si>
  <si>
    <t>NIT2.15</t>
  </si>
  <si>
    <t>TABLE Спецификация</t>
  </si>
  <si>
    <t>нет</t>
  </si>
  <si>
    <t>Название таблицы</t>
  </si>
  <si>
    <t>Лист таблицы</t>
  </si>
  <si>
    <t>TABLE Not in template</t>
  </si>
  <si>
    <t>да</t>
  </si>
  <si>
    <t>TABLE Insert Whole</t>
  </si>
  <si>
    <t>Заголовок документа</t>
  </si>
  <si>
    <t>Документ 1</t>
  </si>
  <si>
    <t>Документ 2</t>
  </si>
  <si>
    <t>Документ 3</t>
  </si>
  <si>
    <t>Документ 4</t>
  </si>
  <si>
    <t>Документ 5</t>
  </si>
  <si>
    <t>Документ 6</t>
  </si>
  <si>
    <t>Документ 7</t>
  </si>
  <si>
    <t>Документ 8</t>
  </si>
  <si>
    <t>Документ 9</t>
  </si>
  <si>
    <t>Документ 10</t>
  </si>
  <si>
    <t>Документ 11</t>
  </si>
  <si>
    <t>Документ 12</t>
  </si>
  <si>
    <t>Документ 13</t>
  </si>
  <si>
    <t>Документ 14</t>
  </si>
  <si>
    <t>Документ 15</t>
  </si>
  <si>
    <t>Версия</t>
  </si>
  <si>
    <t>Версии программы Doc Filler</t>
  </si>
  <si>
    <t>Начальная версия.
Функции программы:
- Синхронизация переменных с шаблоном Word
- Заполнение текстовых переменных
- Копирование таблиц (полностью или частично)
- Создание pdf-версий документов
- Слияние pdf в общий файл</t>
  </si>
  <si>
    <t>Копировать таблицы в Word</t>
  </si>
  <si>
    <t>Открыть папку после создания файлов</t>
  </si>
  <si>
    <t>ID</t>
  </si>
  <si>
    <t>Первый столбец НЕ переносится в Word. Таблица копируется вместе с форматированием.</t>
  </si>
  <si>
    <t>Первый столбец "ID" - служебный. Зарезервирован под номера, чтобы можно было фильтровать строки.</t>
  </si>
  <si>
    <t>Количество уникальных индексов в столбце "ID" ОБЯЗАНО совпадать с количеством генерируемых файлов.</t>
  </si>
  <si>
    <t>Название копируемой таблицы</t>
  </si>
  <si>
    <t>Название листа с копируемой таблицей</t>
  </si>
  <si>
    <t>Таблица для копирования в документ Word</t>
  </si>
  <si>
    <t>*ID*</t>
  </si>
  <si>
    <t>№</t>
  </si>
  <si>
    <t>*Имя шаблона* - Документ № *ID*</t>
  </si>
  <si>
    <t>Имя объединённого pdf-файла</t>
  </si>
  <si>
    <t>Настройки программы</t>
  </si>
  <si>
    <t>TEST</t>
  </si>
  <si>
    <t>Заполненные файлы</t>
  </si>
  <si>
    <t>TEST.docx</t>
  </si>
  <si>
    <t>Объединённый файл</t>
  </si>
  <si>
    <t>*Спецсимволы*</t>
  </si>
  <si>
    <t>да / нет  (если пусто - считается за "нет").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</si>
</sst>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20"/>
      <color theme="0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sz val="2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0" borderId="0" xfId="0" applyFill="1" applyBorder="1"/>
    <xf numFmtId="0" fontId="2" fillId="2" borderId="0" xfId="0" applyFont="1" applyFill="1" applyAlignment="1">
      <alignment horizontal="left" vertical="center"/>
    </xf>
    <xf numFmtId="0" fontId="0" fillId="3" borderId="3" xfId="0" applyFill="1" applyBorder="1"/>
    <xf numFmtId="0" fontId="1" fillId="3" borderId="3" xfId="0" applyFont="1" applyFill="1" applyBorder="1"/>
    <xf numFmtId="0" fontId="5" fillId="3" borderId="3" xfId="1" applyFill="1" applyBorder="1"/>
    <xf numFmtId="0" fontId="0" fillId="3" borderId="2" xfId="0" applyFill="1" applyBorder="1"/>
    <xf numFmtId="0" fontId="0" fillId="3" borderId="4" xfId="0" applyFill="1" applyBorder="1"/>
    <xf numFmtId="0" fontId="6" fillId="5" borderId="2" xfId="0" applyFont="1" applyFill="1" applyBorder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0" fillId="3" borderId="1" xfId="0" applyFont="1" applyFill="1" applyBorder="1" applyAlignment="1">
      <alignment horizontal="left" vertical="top"/>
    </xf>
    <xf numFmtId="0" fontId="0" fillId="3" borderId="1" xfId="0" applyFont="1" applyFill="1" applyBorder="1" applyAlignment="1">
      <alignment horizontal="left" vertical="top" wrapText="1"/>
    </xf>
    <xf numFmtId="0" fontId="0" fillId="3" borderId="1" xfId="0" applyFont="1" applyFill="1" applyBorder="1" applyAlignment="1">
      <alignment horizontal="left"/>
    </xf>
    <xf numFmtId="0" fontId="3" fillId="4" borderId="0" xfId="0" applyNumberFormat="1" applyFont="1" applyFill="1" applyAlignment="1">
      <alignment horizontal="left" vertical="center"/>
    </xf>
    <xf numFmtId="0" fontId="2" fillId="4" borderId="0" xfId="0" applyNumberFormat="1" applyFont="1" applyFill="1" applyAlignment="1">
      <alignment horizontal="left" vertical="center"/>
    </xf>
    <xf numFmtId="0" fontId="7" fillId="0" borderId="0" xfId="0" applyNumberFormat="1" applyFont="1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8" fillId="6" borderId="0" xfId="0" applyNumberFormat="1" applyFont="1" applyFill="1" applyAlignment="1">
      <alignment horizontal="left" vertical="center"/>
    </xf>
    <xf numFmtId="0" fontId="9" fillId="6" borderId="0" xfId="0" applyNumberFormat="1" applyFont="1" applyFill="1" applyAlignment="1">
      <alignment horizontal="left" vertical="center"/>
    </xf>
    <xf numFmtId="0" fontId="9" fillId="6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left" wrapText="1"/>
    </xf>
    <xf numFmtId="0" fontId="0" fillId="0" borderId="0" xfId="0" applyFont="1" applyFill="1" applyAlignment="1">
      <alignment horizontal="left"/>
    </xf>
    <xf numFmtId="0" fontId="1" fillId="7" borderId="1" xfId="0" applyFont="1" applyFill="1" applyBorder="1" applyAlignment="1">
      <alignment vertical="top"/>
    </xf>
    <xf numFmtId="0" fontId="3" fillId="8" borderId="0" xfId="0" applyFont="1" applyFill="1" applyAlignment="1">
      <alignment vertical="center"/>
    </xf>
    <xf numFmtId="0" fontId="0" fillId="8" borderId="0" xfId="0" applyFill="1"/>
    <xf numFmtId="14" fontId="3" fillId="2" borderId="0" xfId="0" applyNumberFormat="1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44">
    <dxf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0" formatCode="General"/>
      <alignment horizontal="left" textRotation="0" wrapText="0" indent="0" relativeIndent="255" justifyLastLine="0" shrinkToFit="0" readingOrder="0"/>
    </dxf>
    <dxf>
      <numFmt numFmtId="0" formatCode="General"/>
      <alignment horizontal="left" vertical="top" textRotation="0" wrapText="0" indent="0" relativeIndent="255" justifyLastLine="0" shrinkToFit="0" readingOrder="0"/>
    </dxf>
    <dxf>
      <alignment horizontal="left" textRotation="0" wrapText="0" indent="0" relativeIndent="255" justifyLastLine="0" shrinkToFit="0" readingOrder="0"/>
    </dxf>
    <dxf>
      <alignment horizontal="left" textRotation="0" wrapText="0" indent="0" relativeIndent="255" justifyLastLine="0" shrinkToFit="0" readingOrder="0"/>
    </dxf>
    <dxf>
      <alignment horizontal="left" textRotation="0" wrapText="0" indent="0" relativeIndent="255" justifyLastLine="0" shrinkToFit="0" readingOrder="0"/>
    </dxf>
    <dxf>
      <alignment horizontal="left" textRotation="0" wrapText="0" indent="0" relativeIndent="255" justifyLastLine="0" shrinkToFit="0" readingOrder="0"/>
    </dxf>
    <dxf>
      <alignment horizontal="left" textRotation="0" wrapText="0" indent="0" relativeIndent="255" justifyLastLine="0" shrinkToFit="0" readingOrder="0"/>
    </dxf>
    <dxf>
      <alignment horizontal="left" textRotation="0" wrapText="0" indent="0" relativeIndent="255" justifyLastLine="0" shrinkToFit="0" readingOrder="0"/>
    </dxf>
    <dxf>
      <alignment horizontal="left" textRotation="0" wrapText="0" indent="0" relativeIndent="255" justifyLastLine="0" shrinkToFit="0" readingOrder="0"/>
    </dxf>
    <dxf>
      <alignment horizontal="left" textRotation="0" wrapText="0" indent="0" relativeIndent="255" justifyLastLine="0" shrinkToFit="0" readingOrder="0"/>
    </dxf>
    <dxf>
      <alignment horizontal="left" textRotation="0" wrapText="0" indent="0" relativeIndent="255" justifyLastLine="0" shrinkToFit="0" readingOrder="0"/>
    </dxf>
    <dxf>
      <alignment horizontal="left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19" formatCode="dd/mm/yyyy"/>
      <alignment horizontal="left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alignment horizontal="general" vertical="top" textRotation="0" indent="0" relativeIndent="255" justifyLastLine="0" shrinkToFit="0" readingOrder="0"/>
    </dxf>
    <dxf>
      <alignment horizontal="general" vertical="top" textRotation="0" indent="0" relativeIndent="255" justifyLastLine="0" shrinkToFit="0" readingOrder="0"/>
    </dxf>
    <dxf>
      <alignment horizontal="general" vertical="top" textRotation="0" indent="0" relativeIndent="255" justifyLastLine="0" shrinkToFit="0" readingOrder="0"/>
    </dxf>
    <dxf>
      <alignment horizontal="general" vertical="top" textRotation="0" indent="0" relativeIndent="255" justifyLastLine="0" shrinkToFit="0" readingOrder="0"/>
    </dxf>
  </dxfs>
  <tableStyles count="0" defaultTableStyle="TableStyleMedium2" defaultPivotStyle="PivotStyleLight16"/>
  <colors>
    <mruColors>
      <color rgb="FFFF9B9B"/>
      <color rgb="FF820000"/>
      <color rgb="FFB490DC"/>
      <color rgb="FF7043C1"/>
      <color rgb="FF960000"/>
      <color rgb="FF3B1D5D"/>
      <color rgb="FF6879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78419</xdr:colOff>
      <xdr:row>22</xdr:row>
      <xdr:rowOff>113403</xdr:rowOff>
    </xdr:from>
    <xdr:to>
      <xdr:col>0</xdr:col>
      <xdr:colOff>3679268</xdr:colOff>
      <xdr:row>47</xdr:row>
      <xdr:rowOff>187947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xmlns=""/>
            </a:ext>
          </a:extLst>
        </a:blip>
        <a:srcRect/>
        <a:stretch/>
      </xdr:blipFill>
      <xdr:spPr>
        <a:xfrm>
          <a:off x="78419" y="5104503"/>
          <a:ext cx="3584520" cy="4837044"/>
        </a:xfrm>
        <a:prstGeom prst="rect">
          <a:avLst/>
        </a:prstGeom>
      </xdr:spPr>
    </xdr:pic>
    <xdr:clientData/>
  </xdr:twoCellAnchor>
  <xdr:twoCellAnchor editAs="oneCell">
    <xdr:from>
      <xdr:col>0</xdr:col>
      <xdr:colOff>115737</xdr:colOff>
      <xdr:row>17</xdr:row>
      <xdr:rowOff>136916</xdr:rowOff>
    </xdr:from>
    <xdr:to>
      <xdr:col>0</xdr:col>
      <xdr:colOff>2372115</xdr:colOff>
      <xdr:row>20</xdr:row>
      <xdr:rowOff>98890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737" y="3688380"/>
          <a:ext cx="2256378" cy="533474"/>
        </a:xfrm>
        <a:prstGeom prst="rect">
          <a:avLst/>
        </a:prstGeom>
      </xdr:spPr>
    </xdr:pic>
    <xdr:clientData/>
  </xdr:twoCellAnchor>
  <xdr:twoCellAnchor editAs="oneCell">
    <xdr:from>
      <xdr:col>0</xdr:col>
      <xdr:colOff>64312</xdr:colOff>
      <xdr:row>4</xdr:row>
      <xdr:rowOff>125701</xdr:rowOff>
    </xdr:from>
    <xdr:to>
      <xdr:col>0</xdr:col>
      <xdr:colOff>11545539</xdr:colOff>
      <xdr:row>16</xdr:row>
      <xdr:rowOff>27985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64312" y="1687801"/>
          <a:ext cx="11432241" cy="218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56029</xdr:colOff>
      <xdr:row>55</xdr:row>
      <xdr:rowOff>134470</xdr:rowOff>
    </xdr:from>
    <xdr:to>
      <xdr:col>0</xdr:col>
      <xdr:colOff>10259673</xdr:colOff>
      <xdr:row>61</xdr:row>
      <xdr:rowOff>10787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6029" y="11421595"/>
          <a:ext cx="10160101" cy="1019317"/>
        </a:xfrm>
        <a:prstGeom prst="rect">
          <a:avLst/>
        </a:prstGeom>
      </xdr:spPr>
    </xdr:pic>
    <xdr:clientData/>
  </xdr:twoCellAnchor>
  <xdr:twoCellAnchor editAs="oneCell">
    <xdr:from>
      <xdr:col>0</xdr:col>
      <xdr:colOff>145676</xdr:colOff>
      <xdr:row>70</xdr:row>
      <xdr:rowOff>78441</xdr:rowOff>
    </xdr:from>
    <xdr:to>
      <xdr:col>0</xdr:col>
      <xdr:colOff>1181723</xdr:colOff>
      <xdr:row>78</xdr:row>
      <xdr:rowOff>183443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45676" y="14232591"/>
          <a:ext cx="1033326" cy="1629002"/>
        </a:xfrm>
        <a:prstGeom prst="rect">
          <a:avLst/>
        </a:prstGeom>
      </xdr:spPr>
    </xdr:pic>
    <xdr:clientData/>
  </xdr:twoCellAnchor>
  <xdr:twoCellAnchor editAs="oneCell">
    <xdr:from>
      <xdr:col>0</xdr:col>
      <xdr:colOff>2271512</xdr:colOff>
      <xdr:row>70</xdr:row>
      <xdr:rowOff>44824</xdr:rowOff>
    </xdr:from>
    <xdr:to>
      <xdr:col>0</xdr:col>
      <xdr:colOff>4829735</xdr:colOff>
      <xdr:row>79</xdr:row>
      <xdr:rowOff>124211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/>
        <a:srcRect t="46198" r="20966"/>
        <a:stretch/>
      </xdr:blipFill>
      <xdr:spPr>
        <a:xfrm>
          <a:off x="2271512" y="13716000"/>
          <a:ext cx="2558223" cy="1793887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84</xdr:row>
      <xdr:rowOff>134470</xdr:rowOff>
    </xdr:from>
    <xdr:to>
      <xdr:col>0</xdr:col>
      <xdr:colOff>9032063</xdr:colOff>
      <xdr:row>104</xdr:row>
      <xdr:rowOff>163581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3618" y="18098620"/>
          <a:ext cx="8960345" cy="3839111"/>
        </a:xfrm>
        <a:prstGeom prst="rect">
          <a:avLst/>
        </a:prstGeom>
      </xdr:spPr>
    </xdr:pic>
    <xdr:clientData/>
  </xdr:twoCellAnchor>
  <xdr:twoCellAnchor editAs="oneCell">
    <xdr:from>
      <xdr:col>0</xdr:col>
      <xdr:colOff>59391</xdr:colOff>
      <xdr:row>107</xdr:row>
      <xdr:rowOff>66674</xdr:rowOff>
    </xdr:from>
    <xdr:to>
      <xdr:col>0</xdr:col>
      <xdr:colOff>7321485</xdr:colOff>
      <xdr:row>121</xdr:row>
      <xdr:rowOff>162310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59391" y="22412324"/>
          <a:ext cx="7232158" cy="276263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4" name="Версии_программы" displayName="Версии_программы" ref="A3:C4" totalsRowShown="0" dataDxfId="43">
  <autoFilter ref="A3:C4"/>
  <tableColumns count="3">
    <tableColumn id="1" name="Версия" dataDxfId="42"/>
    <tableColumn id="2" name="Дата релиза" dataDxfId="41"/>
    <tableColumn id="3" name="Комментарий" dataDxfId="40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1" name="Переменные" displayName="Переменные" ref="A3:O18" totalsRowShown="0">
  <autoFilter ref="A3:O18"/>
  <tableColumns count="15">
    <tableColumn id="6" name="*ID*" dataDxfId="39">
      <calculatedColumnFormula array="1">ROW()-ROW(Переменные[#Headers])</calculatedColumnFormula>
    </tableColumn>
    <tableColumn id="4" name="*Имя шаблона*" dataDxfId="38">
      <calculatedColumnFormula>template_name</calculatedColumnFormula>
    </tableColumn>
    <tableColumn id="7" name="*Сегодня*" dataDxfId="37">
      <calculatedColumnFormula>TODAY()</calculatedColumnFormula>
    </tableColumn>
    <tableColumn id="13" name="*Сегодня 2*" dataDxfId="36">
      <calculatedColumnFormula>TEXT(TODAY(), "ГГГГ-ММ-ДД")</calculatedColumnFormula>
    </tableColumn>
    <tableColumn id="15" name="*Спецсимволы*" dataDxfId="35">
      <calculatedColumnFormula>" ☑  ☐  ☒ "</calculatedColumnFormula>
    </tableColumn>
    <tableColumn id="9" name="TXT_BEFORE" dataDxfId="34"/>
    <tableColumn id="1" name="T1" dataDxfId="33"/>
    <tableColumn id="2" name="T2" dataDxfId="32"/>
    <tableColumn id="3" name="T3" dataDxfId="31"/>
    <tableColumn id="5" name="T4" dataDxfId="30"/>
    <tableColumn id="8" name="TXT" dataDxfId="29"/>
    <tableColumn id="10" name="*TEST1*" dataDxfId="28"/>
    <tableColumn id="11" name="Not it template 1" dataDxfId="27"/>
    <tableColumn id="12" name="Not in template 2" dataDxfId="26"/>
    <tableColumn id="14" name="Заголовок документа" dataDxfId="25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Переменные_таблиц" displayName="Переменные_таблиц" ref="A3:E6" totalsRowShown="0" headerRowDxfId="24" dataDxfId="23">
  <autoFilter ref="A3:E6"/>
  <tableColumns count="5">
    <tableColumn id="6" name="№" dataDxfId="22">
      <calculatedColumnFormula array="1">ROW()-ROW(Переменные_таблиц[#Headers])</calculatedColumnFormula>
    </tableColumn>
    <tableColumn id="4" name="Имя переменной таблицы" dataDxfId="21"/>
    <tableColumn id="13" name="Название таблицы" dataDxfId="20"/>
    <tableColumn id="7" name="Лист таблицы" dataDxfId="19"/>
    <tableColumn id="1" name="Вставлять в Word целиком" dataDxfId="18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2" name="Спецификация" displayName="Спецификация" ref="A5:F50" totalsRowShown="0" headerRowDxfId="17" dataDxfId="16">
  <autoFilter ref="A5:F50"/>
  <tableColumns count="6">
    <tableColumn id="1" name="ID" dataDxfId="15"/>
    <tableColumn id="6" name="Производитель" dataDxfId="14">
      <calculatedColumnFormula>"П" &amp;Спецификация[[#This Row],[ID]]</calculatedColumnFormula>
    </tableColumn>
    <tableColumn id="2" name="Артикул" dataDxfId="13">
      <calculatedColumnFormula>"А"&amp;Спецификация[[#This Row],[ID]]</calculatedColumnFormula>
    </tableColumn>
    <tableColumn id="3" name="Наименование" dataDxfId="12">
      <calculatedColumnFormula>"Н"&amp;Спецификация[[#This Row],[ID]]</calculatedColumnFormula>
    </tableColumn>
    <tableColumn id="4" name="Ед. изм." dataDxfId="11">
      <calculatedColumnFormula>"Е"&amp;Спецификация[[#This Row],[ID]]</calculatedColumnFormula>
    </tableColumn>
    <tableColumn id="5" name="Кол-во, шт" dataDxfId="10">
      <calculatedColumnFormula>"К"&amp;Спецификация[[#This Row],[ID]]</calculatedColumnFormula>
    </tableColumn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8" name="Test1" displayName="Test1" ref="A5:C35" totalsRowShown="0" headerRowDxfId="9" dataDxfId="8">
  <autoFilter ref="A5:C35"/>
  <tableColumns count="3">
    <tableColumn id="1" name="ID" dataDxfId="7"/>
    <tableColumn id="2" name="TEST11" dataDxfId="6"/>
    <tableColumn id="3" name="TEST12" dataDxfId="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id="13" name="Test2" displayName="Test2" ref="A5:C35" totalsRowShown="0" headerRowDxfId="4" dataDxfId="3">
  <autoFilter ref="A5:C35"/>
  <tableColumns count="3">
    <tableColumn id="1" name="ID" dataDxfId="2"/>
    <tableColumn id="2" name="TEST21" dataDxfId="1"/>
    <tableColumn id="3" name="TEST22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etaexcel.ru/techniques/3/24383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table" Target="../tables/table2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>
    <tabColor rgb="FFFFC000"/>
  </sheetPr>
  <dimension ref="A1:A128"/>
  <sheetViews>
    <sheetView topLeftCell="A16" zoomScaleNormal="100" workbookViewId="0">
      <selection activeCell="A15" sqref="A15"/>
    </sheetView>
  </sheetViews>
  <sheetFormatPr defaultRowHeight="15"/>
  <cols>
    <col min="1" max="1" width="176.28515625" customWidth="1"/>
  </cols>
  <sheetData>
    <row r="1" spans="1:1" ht="39.950000000000003" customHeight="1">
      <c r="A1" s="11" t="s">
        <v>117</v>
      </c>
    </row>
    <row r="2" spans="1:1">
      <c r="A2" s="6"/>
    </row>
    <row r="3" spans="1:1">
      <c r="A3" s="7" t="s">
        <v>102</v>
      </c>
    </row>
    <row r="4" spans="1:1">
      <c r="A4" s="6" t="s">
        <v>103</v>
      </c>
    </row>
    <row r="5" spans="1:1">
      <c r="A5" s="6"/>
    </row>
    <row r="6" spans="1:1">
      <c r="A6" s="6"/>
    </row>
    <row r="7" spans="1:1">
      <c r="A7" s="6"/>
    </row>
    <row r="8" spans="1:1">
      <c r="A8" s="6"/>
    </row>
    <row r="9" spans="1:1">
      <c r="A9" s="6"/>
    </row>
    <row r="10" spans="1:1">
      <c r="A10" s="6"/>
    </row>
    <row r="11" spans="1:1">
      <c r="A11" s="6"/>
    </row>
    <row r="12" spans="1:1">
      <c r="A12" s="6"/>
    </row>
    <row r="13" spans="1:1">
      <c r="A13" s="6"/>
    </row>
    <row r="14" spans="1:1">
      <c r="A14" s="6"/>
    </row>
    <row r="15" spans="1:1">
      <c r="A15" s="6"/>
    </row>
    <row r="16" spans="1:1">
      <c r="A16" s="6"/>
    </row>
    <row r="17" spans="1:1">
      <c r="A17" s="6" t="s">
        <v>104</v>
      </c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 t="s">
        <v>105</v>
      </c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 t="s">
        <v>106</v>
      </c>
    </row>
    <row r="51" spans="1:1">
      <c r="A51" s="8" t="s">
        <v>107</v>
      </c>
    </row>
    <row r="52" spans="1:1" ht="15.75" thickBot="1">
      <c r="A52" s="6"/>
    </row>
    <row r="53" spans="1:1">
      <c r="A53" s="9"/>
    </row>
    <row r="54" spans="1:1">
      <c r="A54" s="7" t="s">
        <v>108</v>
      </c>
    </row>
    <row r="55" spans="1:1">
      <c r="A55" s="6" t="s">
        <v>109</v>
      </c>
    </row>
    <row r="56" spans="1:1">
      <c r="A56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 t="s">
        <v>110</v>
      </c>
    </row>
    <row r="64" spans="1:1">
      <c r="A64" s="6" t="s">
        <v>111</v>
      </c>
    </row>
    <row r="65" spans="1:1" ht="15.75" thickBot="1">
      <c r="A65" s="10"/>
    </row>
    <row r="66" spans="1:1">
      <c r="A66" s="6"/>
    </row>
    <row r="67" spans="1:1">
      <c r="A67" s="7" t="s">
        <v>112</v>
      </c>
    </row>
    <row r="68" spans="1:1">
      <c r="A68" s="6"/>
    </row>
    <row r="69" spans="1:1">
      <c r="A69" s="6" t="s">
        <v>113</v>
      </c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 t="s">
        <v>114</v>
      </c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  <row r="96" spans="1:1">
      <c r="A96" s="6"/>
    </row>
    <row r="97" spans="1:1">
      <c r="A97" s="6"/>
    </row>
    <row r="98" spans="1:1">
      <c r="A98" s="6"/>
    </row>
    <row r="99" spans="1:1">
      <c r="A99" s="6"/>
    </row>
    <row r="100" spans="1:1">
      <c r="A100" s="6"/>
    </row>
    <row r="101" spans="1:1">
      <c r="A101" s="6"/>
    </row>
    <row r="102" spans="1:1">
      <c r="A102" s="6"/>
    </row>
    <row r="103" spans="1:1">
      <c r="A103" s="6"/>
    </row>
    <row r="104" spans="1:1">
      <c r="A104" s="6"/>
    </row>
    <row r="105" spans="1:1">
      <c r="A105" s="6"/>
    </row>
    <row r="106" spans="1:1">
      <c r="A106" s="6"/>
    </row>
    <row r="107" spans="1:1">
      <c r="A107" s="6" t="s">
        <v>115</v>
      </c>
    </row>
    <row r="108" spans="1:1">
      <c r="A108" s="6"/>
    </row>
    <row r="109" spans="1:1">
      <c r="A109" s="6"/>
    </row>
    <row r="110" spans="1:1">
      <c r="A110" s="6"/>
    </row>
    <row r="111" spans="1:1">
      <c r="A111" s="6"/>
    </row>
    <row r="112" spans="1:1">
      <c r="A112" s="6"/>
    </row>
    <row r="113" spans="1:1">
      <c r="A113" s="6"/>
    </row>
    <row r="114" spans="1:1">
      <c r="A114" s="6"/>
    </row>
    <row r="115" spans="1:1">
      <c r="A115" s="6"/>
    </row>
    <row r="116" spans="1:1">
      <c r="A116" s="6"/>
    </row>
    <row r="117" spans="1:1">
      <c r="A117" s="6"/>
    </row>
    <row r="118" spans="1:1">
      <c r="A118" s="6"/>
    </row>
    <row r="119" spans="1:1">
      <c r="A119" s="6"/>
    </row>
    <row r="120" spans="1:1">
      <c r="A120" s="6"/>
    </row>
    <row r="121" spans="1:1">
      <c r="A121" s="6"/>
    </row>
    <row r="122" spans="1:1">
      <c r="A122" s="6"/>
    </row>
    <row r="123" spans="1:1">
      <c r="A123" s="6"/>
    </row>
    <row r="124" spans="1:1">
      <c r="A124" s="6"/>
    </row>
    <row r="125" spans="1:1">
      <c r="A125" s="6" t="s">
        <v>116</v>
      </c>
    </row>
    <row r="126" spans="1:1">
      <c r="A126" s="6"/>
    </row>
    <row r="127" spans="1:1">
      <c r="A127" s="6"/>
    </row>
    <row r="128" spans="1:1" ht="15.75" thickBot="1">
      <c r="A128" s="10"/>
    </row>
  </sheetData>
  <sheetProtection sheet="1" objects="1" scenarios="1" selectLockedCells="1" selectUnlockedCells="1"/>
  <hyperlinks>
    <hyperlink ref="A51" r:id="rId1"/>
  </hyperlinks>
  <pageMargins left="0.7" right="0.7" top="0.75" bottom="0.75" header="0.3" footer="0.3"/>
  <pageSetup paperSize="9" orientation="portrait" horizontalDpi="4294967294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7"/>
  <dimension ref="A1:C4"/>
  <sheetViews>
    <sheetView zoomScale="115" zoomScaleNormal="115" workbookViewId="0">
      <selection activeCell="C7" sqref="C7"/>
    </sheetView>
  </sheetViews>
  <sheetFormatPr defaultRowHeight="15"/>
  <cols>
    <col min="1" max="1" width="10.28515625" customWidth="1"/>
    <col min="2" max="2" width="19.85546875" customWidth="1"/>
    <col min="3" max="3" width="97.85546875" customWidth="1"/>
  </cols>
  <sheetData>
    <row r="1" spans="1:3" s="33" customFormat="1" ht="39.950000000000003" customHeight="1">
      <c r="A1" s="32" t="s">
        <v>340</v>
      </c>
    </row>
    <row r="3" spans="1:3">
      <c r="A3" t="s">
        <v>339</v>
      </c>
      <c r="B3" t="s">
        <v>145</v>
      </c>
      <c r="C3" t="s">
        <v>147</v>
      </c>
    </row>
    <row r="4" spans="1:3" s="24" customFormat="1" ht="120">
      <c r="A4" s="24" t="s">
        <v>146</v>
      </c>
      <c r="C4" s="25" t="s">
        <v>341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>
    <tabColor theme="0" tint="-0.249977111117893"/>
  </sheetPr>
  <dimension ref="A1:B18"/>
  <sheetViews>
    <sheetView zoomScale="130" zoomScaleNormal="130" workbookViewId="0">
      <selection activeCell="B6" sqref="B6"/>
    </sheetView>
  </sheetViews>
  <sheetFormatPr defaultRowHeight="15"/>
  <cols>
    <col min="1" max="1" width="42.85546875" customWidth="1"/>
    <col min="2" max="2" width="65.7109375" customWidth="1"/>
  </cols>
  <sheetData>
    <row r="1" spans="1:2" s="33" customFormat="1" ht="39.950000000000003" customHeight="1">
      <c r="A1" s="32" t="s">
        <v>355</v>
      </c>
    </row>
    <row r="3" spans="1:2">
      <c r="A3" s="31" t="s">
        <v>96</v>
      </c>
      <c r="B3" s="18" t="s">
        <v>142</v>
      </c>
    </row>
    <row r="4" spans="1:2">
      <c r="A4" s="31" t="s">
        <v>97</v>
      </c>
      <c r="B4" s="19" t="s">
        <v>358</v>
      </c>
    </row>
    <row r="5" spans="1:2">
      <c r="A5" s="31" t="s">
        <v>100</v>
      </c>
      <c r="B5" s="20" t="s">
        <v>356</v>
      </c>
    </row>
    <row r="6" spans="1:2">
      <c r="A6" s="31" t="s">
        <v>98</v>
      </c>
      <c r="B6" s="19" t="s">
        <v>357</v>
      </c>
    </row>
    <row r="7" spans="1:2">
      <c r="A7" s="31" t="s">
        <v>118</v>
      </c>
      <c r="B7" s="20" t="s">
        <v>317</v>
      </c>
    </row>
    <row r="8" spans="1:2">
      <c r="A8" s="31" t="s">
        <v>99</v>
      </c>
      <c r="B8" s="20" t="s">
        <v>353</v>
      </c>
    </row>
    <row r="9" spans="1:2">
      <c r="A9" s="31" t="s">
        <v>277</v>
      </c>
      <c r="B9" s="20" t="b">
        <v>0</v>
      </c>
    </row>
    <row r="10" spans="1:2">
      <c r="A10" s="31" t="s">
        <v>276</v>
      </c>
      <c r="B10" s="20" t="b">
        <v>0</v>
      </c>
    </row>
    <row r="11" spans="1:2">
      <c r="A11" s="31" t="s">
        <v>278</v>
      </c>
      <c r="B11" s="20" t="s">
        <v>279</v>
      </c>
    </row>
    <row r="12" spans="1:2">
      <c r="A12" s="31" t="s">
        <v>342</v>
      </c>
      <c r="B12" s="20" t="b">
        <v>1</v>
      </c>
    </row>
    <row r="13" spans="1:2">
      <c r="A13" s="31" t="s">
        <v>343</v>
      </c>
      <c r="B13" s="20" t="s">
        <v>317</v>
      </c>
    </row>
    <row r="14" spans="1:2">
      <c r="A14" s="31" t="s">
        <v>354</v>
      </c>
      <c r="B14" s="20" t="s">
        <v>359</v>
      </c>
    </row>
    <row r="15" spans="1:2">
      <c r="A15" s="4"/>
      <c r="B15" s="4"/>
    </row>
    <row r="16" spans="1:2">
      <c r="A16" s="4"/>
      <c r="B16" s="4"/>
    </row>
    <row r="17" spans="1:2">
      <c r="A17" s="4"/>
      <c r="B17" s="4"/>
    </row>
    <row r="18" spans="1:2">
      <c r="A18" s="3"/>
      <c r="B18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">
    <tabColor rgb="FF0070C0"/>
  </sheetPr>
  <dimension ref="A1:O18"/>
  <sheetViews>
    <sheetView tabSelected="1" zoomScale="130" zoomScaleNormal="130" workbookViewId="0">
      <pane ySplit="3" topLeftCell="A4" activePane="bottomLeft" state="frozen"/>
      <selection pane="bottomLeft" activeCell="B20" sqref="B20"/>
    </sheetView>
  </sheetViews>
  <sheetFormatPr defaultColWidth="18.7109375" defaultRowHeight="15"/>
  <cols>
    <col min="1" max="1" width="7.5703125" style="1" customWidth="1"/>
    <col min="2" max="2" width="18.7109375" style="1" customWidth="1"/>
    <col min="3" max="3" width="18.7109375" style="12" customWidth="1"/>
    <col min="4" max="54" width="18.7109375" style="1" customWidth="1"/>
    <col min="55" max="16384" width="18.7109375" style="1"/>
  </cols>
  <sheetData>
    <row r="1" spans="1:15" s="5" customFormat="1" ht="39.950000000000003" customHeight="1">
      <c r="A1" s="2" t="s">
        <v>144</v>
      </c>
      <c r="B1" s="2"/>
      <c r="C1" s="34"/>
      <c r="D1" s="2"/>
      <c r="E1" s="2"/>
    </row>
    <row r="3" spans="1:15">
      <c r="A3" s="1" t="s">
        <v>351</v>
      </c>
      <c r="B3" s="1" t="s">
        <v>100</v>
      </c>
      <c r="C3" s="12" t="s">
        <v>134</v>
      </c>
      <c r="D3" s="1" t="s">
        <v>135</v>
      </c>
      <c r="E3" s="1" t="s">
        <v>360</v>
      </c>
      <c r="F3" s="1" t="s">
        <v>0</v>
      </c>
      <c r="G3" s="1" t="s">
        <v>1</v>
      </c>
      <c r="H3" s="1" t="s">
        <v>2</v>
      </c>
      <c r="I3" s="1" t="s">
        <v>3</v>
      </c>
      <c r="J3" s="1" t="s">
        <v>4</v>
      </c>
      <c r="K3" s="1" t="s">
        <v>5</v>
      </c>
      <c r="L3" s="1" t="s">
        <v>101</v>
      </c>
      <c r="M3" s="1" t="s">
        <v>284</v>
      </c>
      <c r="N3" s="1" t="s">
        <v>285</v>
      </c>
      <c r="O3" s="1" t="s">
        <v>323</v>
      </c>
    </row>
    <row r="4" spans="1:15">
      <c r="A4" s="1" cm="1">
        <f t="array" ref="A4">ROW()-ROW(Переменные[#Headers])</f>
        <v>1</v>
      </c>
      <c r="B4" s="1" t="str">
        <f t="shared" ref="B4:B18" si="0">template_name</f>
        <v>TEST</v>
      </c>
      <c r="C4" s="12">
        <f t="shared" ref="C4:C18" ca="1" si="1">TODAY()</f>
        <v>44912</v>
      </c>
      <c r="D4" s="1" t="str">
        <f t="shared" ref="D4:D18" ca="1" si="2">TEXT(TODAY(), "ГГГГ-ММ-ДД")</f>
        <v>2022-12-17</v>
      </c>
      <c r="E4" s="1" t="str">
        <f t="shared" ref="E4:E18" si="3">" ☑  ☐  ☒ "</f>
        <v xml:space="preserve"> ☑  ☐  ☒ </v>
      </c>
      <c r="F4" s="1" t="s">
        <v>6</v>
      </c>
      <c r="G4" s="1" t="s">
        <v>21</v>
      </c>
      <c r="H4" s="1" t="s">
        <v>25</v>
      </c>
      <c r="I4" s="1" t="s">
        <v>39</v>
      </c>
      <c r="J4" s="1" t="s">
        <v>53</v>
      </c>
      <c r="K4" s="1" t="s">
        <v>67</v>
      </c>
      <c r="L4" s="1" t="s">
        <v>119</v>
      </c>
      <c r="M4" s="1" t="s">
        <v>286</v>
      </c>
      <c r="N4" s="1" t="s">
        <v>287</v>
      </c>
      <c r="O4" s="1" t="s">
        <v>324</v>
      </c>
    </row>
    <row r="5" spans="1:15">
      <c r="A5" s="1" cm="1">
        <f t="array" ref="A5">ROW()-ROW(Переменные[#Headers])</f>
        <v>2</v>
      </c>
      <c r="B5" s="1" t="str">
        <f t="shared" si="0"/>
        <v>TEST</v>
      </c>
      <c r="C5" s="12">
        <f t="shared" ca="1" si="1"/>
        <v>44912</v>
      </c>
      <c r="D5" s="1" t="str">
        <f t="shared" ca="1" si="2"/>
        <v>2022-12-17</v>
      </c>
      <c r="E5" s="1" t="str">
        <f t="shared" si="3"/>
        <v xml:space="preserve"> ☑  ☐  ☒ </v>
      </c>
      <c r="F5" s="1" t="s">
        <v>7</v>
      </c>
      <c r="G5" s="1" t="s">
        <v>82</v>
      </c>
      <c r="H5" s="1" t="s">
        <v>22</v>
      </c>
      <c r="I5" s="1" t="s">
        <v>40</v>
      </c>
      <c r="J5" s="1" t="s">
        <v>54</v>
      </c>
      <c r="K5" s="1" t="s">
        <v>68</v>
      </c>
      <c r="L5" s="1" t="s">
        <v>120</v>
      </c>
      <c r="M5" s="1" t="s">
        <v>288</v>
      </c>
      <c r="N5" s="1" t="s">
        <v>289</v>
      </c>
      <c r="O5" s="1" t="s">
        <v>325</v>
      </c>
    </row>
    <row r="6" spans="1:15">
      <c r="A6" s="1" cm="1">
        <f t="array" ref="A6">ROW()-ROW(Переменные[#Headers])</f>
        <v>3</v>
      </c>
      <c r="B6" s="1" t="str">
        <f t="shared" si="0"/>
        <v>TEST</v>
      </c>
      <c r="C6" s="12">
        <f t="shared" ca="1" si="1"/>
        <v>44912</v>
      </c>
      <c r="D6" s="1" t="str">
        <f t="shared" ca="1" si="2"/>
        <v>2022-12-17</v>
      </c>
      <c r="E6" s="1" t="str">
        <f t="shared" si="3"/>
        <v xml:space="preserve"> ☑  ☐  ☒ </v>
      </c>
      <c r="F6" s="1" t="s">
        <v>8</v>
      </c>
      <c r="G6" s="1" t="s">
        <v>83</v>
      </c>
      <c r="H6" s="1" t="s">
        <v>26</v>
      </c>
      <c r="I6" s="1" t="s">
        <v>23</v>
      </c>
      <c r="J6" s="1" t="s">
        <v>55</v>
      </c>
      <c r="K6" s="1" t="s">
        <v>69</v>
      </c>
      <c r="L6" s="1" t="s">
        <v>121</v>
      </c>
      <c r="M6" s="1" t="s">
        <v>290</v>
      </c>
      <c r="N6" s="1" t="s">
        <v>291</v>
      </c>
      <c r="O6" s="1" t="s">
        <v>326</v>
      </c>
    </row>
    <row r="7" spans="1:15">
      <c r="A7" s="1" cm="1">
        <f t="array" ref="A7">ROW()-ROW(Переменные[#Headers])</f>
        <v>4</v>
      </c>
      <c r="B7" s="1" t="str">
        <f t="shared" si="0"/>
        <v>TEST</v>
      </c>
      <c r="C7" s="12">
        <f t="shared" ca="1" si="1"/>
        <v>44912</v>
      </c>
      <c r="D7" s="1" t="str">
        <f t="shared" ca="1" si="2"/>
        <v>2022-12-17</v>
      </c>
      <c r="E7" s="1" t="str">
        <f t="shared" si="3"/>
        <v xml:space="preserve"> ☑  ☐  ☒ </v>
      </c>
      <c r="F7" s="1" t="s">
        <v>9</v>
      </c>
      <c r="G7" s="1" t="s">
        <v>84</v>
      </c>
      <c r="H7" s="1" t="s">
        <v>27</v>
      </c>
      <c r="I7" s="1" t="s">
        <v>41</v>
      </c>
      <c r="J7" s="1" t="s">
        <v>24</v>
      </c>
      <c r="K7" s="1" t="s">
        <v>70</v>
      </c>
      <c r="L7" s="1" t="s">
        <v>122</v>
      </c>
      <c r="M7" s="1" t="s">
        <v>292</v>
      </c>
      <c r="N7" s="1" t="s">
        <v>293</v>
      </c>
      <c r="O7" s="1" t="s">
        <v>327</v>
      </c>
    </row>
    <row r="8" spans="1:15">
      <c r="A8" s="1" cm="1">
        <f t="array" ref="A8">ROW()-ROW(Переменные[#Headers])</f>
        <v>5</v>
      </c>
      <c r="B8" s="1" t="str">
        <f t="shared" si="0"/>
        <v>TEST</v>
      </c>
      <c r="C8" s="12">
        <f t="shared" ca="1" si="1"/>
        <v>44912</v>
      </c>
      <c r="D8" s="1" t="str">
        <f t="shared" ca="1" si="2"/>
        <v>2022-12-17</v>
      </c>
      <c r="E8" s="1" t="str">
        <f t="shared" si="3"/>
        <v xml:space="preserve"> ☑  ☐  ☒ </v>
      </c>
      <c r="F8" s="1" t="s">
        <v>10</v>
      </c>
      <c r="G8" s="1" t="s">
        <v>85</v>
      </c>
      <c r="H8" s="1" t="s">
        <v>28</v>
      </c>
      <c r="I8" s="1" t="s">
        <v>42</v>
      </c>
      <c r="J8" s="1" t="s">
        <v>56</v>
      </c>
      <c r="K8" s="1" t="s">
        <v>71</v>
      </c>
      <c r="L8" s="1" t="s">
        <v>123</v>
      </c>
      <c r="M8" s="1" t="s">
        <v>294</v>
      </c>
      <c r="N8" s="1" t="s">
        <v>295</v>
      </c>
      <c r="O8" s="1" t="s">
        <v>328</v>
      </c>
    </row>
    <row r="9" spans="1:15">
      <c r="A9" s="1" cm="1">
        <f t="array" ref="A9">ROW()-ROW(Переменные[#Headers])</f>
        <v>6</v>
      </c>
      <c r="B9" s="1" t="str">
        <f t="shared" si="0"/>
        <v>TEST</v>
      </c>
      <c r="C9" s="12">
        <f t="shared" ca="1" si="1"/>
        <v>44912</v>
      </c>
      <c r="D9" s="1" t="str">
        <f t="shared" ca="1" si="2"/>
        <v>2022-12-17</v>
      </c>
      <c r="E9" s="1" t="str">
        <f t="shared" si="3"/>
        <v xml:space="preserve"> ☑  ☐  ☒ </v>
      </c>
      <c r="F9" s="1" t="s">
        <v>11</v>
      </c>
      <c r="G9" s="1" t="s">
        <v>86</v>
      </c>
      <c r="H9" s="1" t="s">
        <v>29</v>
      </c>
      <c r="I9" s="1" t="s">
        <v>43</v>
      </c>
      <c r="J9" s="1" t="s">
        <v>57</v>
      </c>
      <c r="K9" s="1" t="s">
        <v>72</v>
      </c>
      <c r="L9" s="1" t="s">
        <v>124</v>
      </c>
      <c r="M9" s="1" t="s">
        <v>296</v>
      </c>
      <c r="N9" s="1" t="s">
        <v>297</v>
      </c>
      <c r="O9" s="1" t="s">
        <v>329</v>
      </c>
    </row>
    <row r="10" spans="1:15">
      <c r="A10" s="1" cm="1">
        <f t="array" ref="A10">ROW()-ROW(Переменные[#Headers])</f>
        <v>7</v>
      </c>
      <c r="B10" s="1" t="str">
        <f t="shared" si="0"/>
        <v>TEST</v>
      </c>
      <c r="C10" s="12">
        <f t="shared" ca="1" si="1"/>
        <v>44912</v>
      </c>
      <c r="D10" s="1" t="str">
        <f t="shared" ca="1" si="2"/>
        <v>2022-12-17</v>
      </c>
      <c r="E10" s="1" t="str">
        <f t="shared" si="3"/>
        <v xml:space="preserve"> ☑  ☐  ☒ </v>
      </c>
      <c r="F10" s="1" t="s">
        <v>12</v>
      </c>
      <c r="G10" s="1" t="s">
        <v>87</v>
      </c>
      <c r="H10" s="1" t="s">
        <v>30</v>
      </c>
      <c r="I10" s="1" t="s">
        <v>44</v>
      </c>
      <c r="J10" s="1" t="s">
        <v>58</v>
      </c>
      <c r="K10" s="1" t="s">
        <v>73</v>
      </c>
      <c r="L10" s="1" t="s">
        <v>125</v>
      </c>
      <c r="M10" s="1" t="s">
        <v>298</v>
      </c>
      <c r="N10" s="1" t="s">
        <v>299</v>
      </c>
      <c r="O10" s="1" t="s">
        <v>330</v>
      </c>
    </row>
    <row r="11" spans="1:15">
      <c r="A11" s="1" cm="1">
        <f t="array" ref="A11">ROW()-ROW(Переменные[#Headers])</f>
        <v>8</v>
      </c>
      <c r="B11" s="1" t="str">
        <f t="shared" si="0"/>
        <v>TEST</v>
      </c>
      <c r="C11" s="12">
        <f t="shared" ca="1" si="1"/>
        <v>44912</v>
      </c>
      <c r="D11" s="1" t="str">
        <f t="shared" ca="1" si="2"/>
        <v>2022-12-17</v>
      </c>
      <c r="E11" s="1" t="str">
        <f t="shared" si="3"/>
        <v xml:space="preserve"> ☑  ☐  ☒ </v>
      </c>
      <c r="F11" s="1" t="s">
        <v>13</v>
      </c>
      <c r="G11" s="1" t="s">
        <v>88</v>
      </c>
      <c r="H11" s="1" t="s">
        <v>31</v>
      </c>
      <c r="I11" s="1" t="s">
        <v>45</v>
      </c>
      <c r="J11" s="1" t="s">
        <v>59</v>
      </c>
      <c r="K11" s="1" t="s">
        <v>74</v>
      </c>
      <c r="L11" s="1" t="s">
        <v>126</v>
      </c>
      <c r="M11" s="1" t="s">
        <v>300</v>
      </c>
      <c r="N11" s="1" t="s">
        <v>301</v>
      </c>
      <c r="O11" s="1" t="s">
        <v>331</v>
      </c>
    </row>
    <row r="12" spans="1:15">
      <c r="A12" s="1" cm="1">
        <f t="array" ref="A12">ROW()-ROW(Переменные[#Headers])</f>
        <v>9</v>
      </c>
      <c r="B12" s="1" t="str">
        <f t="shared" si="0"/>
        <v>TEST</v>
      </c>
      <c r="C12" s="12">
        <f t="shared" ca="1" si="1"/>
        <v>44912</v>
      </c>
      <c r="D12" s="1" t="str">
        <f t="shared" ca="1" si="2"/>
        <v>2022-12-17</v>
      </c>
      <c r="E12" s="1" t="str">
        <f t="shared" si="3"/>
        <v xml:space="preserve"> ☑  ☐  ☒ </v>
      </c>
      <c r="F12" s="1" t="s">
        <v>14</v>
      </c>
      <c r="G12" s="1" t="s">
        <v>89</v>
      </c>
      <c r="H12" s="1" t="s">
        <v>32</v>
      </c>
      <c r="I12" s="1" t="s">
        <v>46</v>
      </c>
      <c r="J12" s="1" t="s">
        <v>60</v>
      </c>
      <c r="K12" s="1" t="s">
        <v>75</v>
      </c>
      <c r="L12" s="1" t="s">
        <v>127</v>
      </c>
      <c r="M12" s="1" t="s">
        <v>302</v>
      </c>
      <c r="N12" s="1" t="s">
        <v>303</v>
      </c>
      <c r="O12" s="1" t="s">
        <v>332</v>
      </c>
    </row>
    <row r="13" spans="1:15">
      <c r="A13" s="1" cm="1">
        <f t="array" ref="A13">ROW()-ROW(Переменные[#Headers])</f>
        <v>10</v>
      </c>
      <c r="B13" s="1" t="str">
        <f t="shared" si="0"/>
        <v>TEST</v>
      </c>
      <c r="C13" s="12">
        <f t="shared" ca="1" si="1"/>
        <v>44912</v>
      </c>
      <c r="D13" s="1" t="str">
        <f t="shared" ca="1" si="2"/>
        <v>2022-12-17</v>
      </c>
      <c r="E13" s="1" t="str">
        <f t="shared" si="3"/>
        <v xml:space="preserve"> ☑  ☐  ☒ </v>
      </c>
      <c r="F13" s="1" t="s">
        <v>15</v>
      </c>
      <c r="G13" s="1" t="s">
        <v>90</v>
      </c>
      <c r="H13" s="1" t="s">
        <v>33</v>
      </c>
      <c r="I13" s="1" t="s">
        <v>47</v>
      </c>
      <c r="J13" s="1" t="s">
        <v>61</v>
      </c>
      <c r="K13" s="1" t="s">
        <v>76</v>
      </c>
      <c r="L13" s="1" t="s">
        <v>128</v>
      </c>
      <c r="M13" s="1" t="s">
        <v>304</v>
      </c>
      <c r="N13" s="1" t="s">
        <v>305</v>
      </c>
      <c r="O13" s="1" t="s">
        <v>333</v>
      </c>
    </row>
    <row r="14" spans="1:15">
      <c r="A14" s="1" cm="1">
        <f t="array" ref="A14">ROW()-ROW(Переменные[#Headers])</f>
        <v>11</v>
      </c>
      <c r="B14" s="1" t="str">
        <f t="shared" si="0"/>
        <v>TEST</v>
      </c>
      <c r="C14" s="12">
        <f t="shared" ca="1" si="1"/>
        <v>44912</v>
      </c>
      <c r="D14" s="1" t="str">
        <f t="shared" ca="1" si="2"/>
        <v>2022-12-17</v>
      </c>
      <c r="E14" s="1" t="str">
        <f t="shared" si="3"/>
        <v xml:space="preserve"> ☑  ☐  ☒ </v>
      </c>
      <c r="F14" s="1" t="s">
        <v>16</v>
      </c>
      <c r="G14" s="1" t="s">
        <v>91</v>
      </c>
      <c r="H14" s="1" t="s">
        <v>34</v>
      </c>
      <c r="I14" s="1" t="s">
        <v>48</v>
      </c>
      <c r="J14" s="1" t="s">
        <v>62</v>
      </c>
      <c r="K14" s="1" t="s">
        <v>77</v>
      </c>
      <c r="L14" s="1" t="s">
        <v>129</v>
      </c>
      <c r="M14" s="1" t="s">
        <v>306</v>
      </c>
      <c r="N14" s="1" t="s">
        <v>307</v>
      </c>
      <c r="O14" s="1" t="s">
        <v>334</v>
      </c>
    </row>
    <row r="15" spans="1:15">
      <c r="A15" s="1" cm="1">
        <f t="array" ref="A15">ROW()-ROW(Переменные[#Headers])</f>
        <v>12</v>
      </c>
      <c r="B15" s="1" t="str">
        <f t="shared" si="0"/>
        <v>TEST</v>
      </c>
      <c r="C15" s="12">
        <f t="shared" ca="1" si="1"/>
        <v>44912</v>
      </c>
      <c r="D15" s="1" t="str">
        <f t="shared" ca="1" si="2"/>
        <v>2022-12-17</v>
      </c>
      <c r="E15" s="1" t="str">
        <f t="shared" si="3"/>
        <v xml:space="preserve"> ☑  ☐  ☒ </v>
      </c>
      <c r="F15" s="1" t="s">
        <v>17</v>
      </c>
      <c r="G15" s="1" t="s">
        <v>92</v>
      </c>
      <c r="H15" s="1" t="s">
        <v>35</v>
      </c>
      <c r="I15" s="1" t="s">
        <v>49</v>
      </c>
      <c r="J15" s="1" t="s">
        <v>63</v>
      </c>
      <c r="K15" s="1" t="s">
        <v>78</v>
      </c>
      <c r="L15" s="1" t="s">
        <v>130</v>
      </c>
      <c r="M15" s="1" t="s">
        <v>308</v>
      </c>
      <c r="N15" s="1" t="s">
        <v>309</v>
      </c>
      <c r="O15" s="1" t="s">
        <v>335</v>
      </c>
    </row>
    <row r="16" spans="1:15">
      <c r="A16" s="1" cm="1">
        <f t="array" ref="A16">ROW()-ROW(Переменные[#Headers])</f>
        <v>13</v>
      </c>
      <c r="B16" s="1" t="str">
        <f t="shared" si="0"/>
        <v>TEST</v>
      </c>
      <c r="C16" s="12">
        <f t="shared" ca="1" si="1"/>
        <v>44912</v>
      </c>
      <c r="D16" s="1" t="str">
        <f t="shared" ca="1" si="2"/>
        <v>2022-12-17</v>
      </c>
      <c r="E16" s="1" t="str">
        <f t="shared" si="3"/>
        <v xml:space="preserve"> ☑  ☐  ☒ </v>
      </c>
      <c r="F16" s="1" t="s">
        <v>18</v>
      </c>
      <c r="G16" s="1" t="s">
        <v>93</v>
      </c>
      <c r="H16" s="1" t="s">
        <v>36</v>
      </c>
      <c r="I16" s="1" t="s">
        <v>50</v>
      </c>
      <c r="J16" s="1" t="s">
        <v>64</v>
      </c>
      <c r="K16" s="1" t="s">
        <v>79</v>
      </c>
      <c r="L16" s="1" t="s">
        <v>131</v>
      </c>
      <c r="M16" s="1" t="s">
        <v>310</v>
      </c>
      <c r="N16" s="1" t="s">
        <v>311</v>
      </c>
      <c r="O16" s="1" t="s">
        <v>336</v>
      </c>
    </row>
    <row r="17" spans="1:15">
      <c r="A17" s="1" cm="1">
        <f t="array" ref="A17">ROW()-ROW(Переменные[#Headers])</f>
        <v>14</v>
      </c>
      <c r="B17" s="1" t="str">
        <f t="shared" si="0"/>
        <v>TEST</v>
      </c>
      <c r="C17" s="12">
        <f t="shared" ca="1" si="1"/>
        <v>44912</v>
      </c>
      <c r="D17" s="1" t="str">
        <f t="shared" ca="1" si="2"/>
        <v>2022-12-17</v>
      </c>
      <c r="E17" s="1" t="str">
        <f t="shared" si="3"/>
        <v xml:space="preserve"> ☑  ☐  ☒ </v>
      </c>
      <c r="F17" s="1" t="s">
        <v>19</v>
      </c>
      <c r="G17" s="1" t="s">
        <v>94</v>
      </c>
      <c r="H17" s="1" t="s">
        <v>37</v>
      </c>
      <c r="I17" s="1" t="s">
        <v>51</v>
      </c>
      <c r="J17" s="1" t="s">
        <v>65</v>
      </c>
      <c r="K17" s="1" t="s">
        <v>80</v>
      </c>
      <c r="L17" s="1" t="s">
        <v>132</v>
      </c>
      <c r="M17" s="1" t="s">
        <v>312</v>
      </c>
      <c r="N17" s="1" t="s">
        <v>313</v>
      </c>
      <c r="O17" s="1" t="s">
        <v>337</v>
      </c>
    </row>
    <row r="18" spans="1:15">
      <c r="A18" s="1" cm="1">
        <f t="array" ref="A18">ROW()-ROW(Переменные[#Headers])</f>
        <v>15</v>
      </c>
      <c r="B18" s="1" t="str">
        <f t="shared" si="0"/>
        <v>TEST</v>
      </c>
      <c r="C18" s="12">
        <f t="shared" ca="1" si="1"/>
        <v>44912</v>
      </c>
      <c r="D18" s="1" t="str">
        <f t="shared" ca="1" si="2"/>
        <v>2022-12-17</v>
      </c>
      <c r="E18" s="1" t="str">
        <f t="shared" si="3"/>
        <v xml:space="preserve"> ☑  ☐  ☒ </v>
      </c>
      <c r="F18" s="1" t="s">
        <v>20</v>
      </c>
      <c r="G18" s="1" t="s">
        <v>95</v>
      </c>
      <c r="H18" s="1" t="s">
        <v>38</v>
      </c>
      <c r="I18" s="1" t="s">
        <v>52</v>
      </c>
      <c r="J18" s="1" t="s">
        <v>66</v>
      </c>
      <c r="K18" s="1" t="s">
        <v>81</v>
      </c>
      <c r="L18" s="1" t="s">
        <v>133</v>
      </c>
      <c r="M18" s="1" t="s">
        <v>314</v>
      </c>
      <c r="N18" s="1" t="s">
        <v>315</v>
      </c>
      <c r="O18" s="1" t="s">
        <v>338</v>
      </c>
    </row>
  </sheetData>
  <phoneticPr fontId="4" type="noConversion"/>
  <pageMargins left="0.7" right="0.7" top="0.75" bottom="0.75" header="0.3" footer="0.3"/>
  <pageSetup orientation="portrait" r:id="rId1"/>
  <legacyDrawing r:id="rId2"/>
  <controls>
    <control shapeId="5128" r:id="rId3" name="Open_Template"/>
    <control shapeId="5121" r:id="rId4" name="Run_Doc_Filler"/>
    <control shapeId="5122" r:id="rId5" name="show_10_col_until_10"/>
    <control shapeId="5123" r:id="rId6" name="show_10_col_until_20"/>
    <control shapeId="5124" r:id="rId7" name="show_10_col_until_30"/>
    <control shapeId="5125" r:id="rId8" name="show_10_col_until_40"/>
    <control shapeId="5126" r:id="rId9" name="show_10_col_until_50"/>
    <control shapeId="5127" r:id="rId10" name="show_all_col"/>
  </controls>
  <tableParts count="1"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>
    <tabColor theme="5" tint="-0.499984740745262"/>
  </sheetPr>
  <dimension ref="A1:E6"/>
  <sheetViews>
    <sheetView zoomScale="130" zoomScaleNormal="130" workbookViewId="0">
      <pane ySplit="3" topLeftCell="A4" activePane="bottomLeft" state="frozen"/>
      <selection activeCell="C12" sqref="C12"/>
      <selection pane="bottomLeft" activeCell="C13" sqref="C13"/>
    </sheetView>
  </sheetViews>
  <sheetFormatPr defaultColWidth="18.7109375" defaultRowHeight="15"/>
  <cols>
    <col min="1" max="1" width="7.5703125" style="14" customWidth="1"/>
    <col min="2" max="4" width="37.85546875" style="14" customWidth="1"/>
    <col min="5" max="5" width="37.85546875" customWidth="1"/>
    <col min="6" max="42" width="18.7109375" style="14" customWidth="1"/>
    <col min="43" max="16384" width="18.7109375" style="14"/>
  </cols>
  <sheetData>
    <row r="1" spans="1:5" s="22" customFormat="1" ht="39.950000000000003" customHeight="1">
      <c r="A1" s="21" t="s">
        <v>150</v>
      </c>
      <c r="B1" s="21"/>
      <c r="C1" s="21"/>
      <c r="D1" s="21"/>
    </row>
    <row r="2" spans="1:5">
      <c r="B2" s="23" t="s">
        <v>283</v>
      </c>
      <c r="C2" s="23" t="s">
        <v>348</v>
      </c>
      <c r="D2" s="23" t="s">
        <v>349</v>
      </c>
      <c r="E2" s="29" t="s">
        <v>361</v>
      </c>
    </row>
    <row r="3" spans="1:5" s="13" customFormat="1">
      <c r="A3" s="13" t="s">
        <v>352</v>
      </c>
      <c r="B3" s="13" t="s">
        <v>136</v>
      </c>
      <c r="C3" s="13" t="s">
        <v>318</v>
      </c>
      <c r="D3" s="13" t="s">
        <v>319</v>
      </c>
      <c r="E3" s="13" t="s">
        <v>275</v>
      </c>
    </row>
    <row r="4" spans="1:5">
      <c r="A4" s="14" cm="1">
        <f t="array" ref="A4">ROW()-ROW(Переменные_таблиц[#Headers])</f>
        <v>1</v>
      </c>
      <c r="B4" s="14" t="s">
        <v>316</v>
      </c>
      <c r="C4" s="14" t="s">
        <v>143</v>
      </c>
      <c r="D4" s="14" t="s">
        <v>280</v>
      </c>
      <c r="E4" s="14" t="s">
        <v>317</v>
      </c>
    </row>
    <row r="5" spans="1:5">
      <c r="A5" s="14" cm="1">
        <f t="array" ref="A5">ROW()-ROW(Переменные_таблиц[#Headers])</f>
        <v>2</v>
      </c>
      <c r="B5" s="14" t="s">
        <v>322</v>
      </c>
      <c r="C5" s="14" t="s">
        <v>148</v>
      </c>
      <c r="D5" s="14" t="s">
        <v>281</v>
      </c>
      <c r="E5" s="14" t="s">
        <v>321</v>
      </c>
    </row>
    <row r="6" spans="1:5">
      <c r="A6" s="14" cm="1">
        <f t="array" ref="A6">ROW()-ROW(Переменные_таблиц[#Headers])</f>
        <v>3</v>
      </c>
      <c r="B6" s="14" t="s">
        <v>320</v>
      </c>
      <c r="C6" s="14" t="s">
        <v>149</v>
      </c>
      <c r="D6" s="14" t="s">
        <v>282</v>
      </c>
      <c r="E6" s="14" t="s">
        <v>317</v>
      </c>
    </row>
  </sheetData>
  <phoneticPr fontId="4" type="noConversion"/>
  <pageMargins left="0.7" right="0.7" top="0.75" bottom="0.75" header="0.3" footer="0.3"/>
  <pageSetup orientation="portrait" r:id="rId1"/>
  <legacyDrawing r:id="rId2"/>
  <controls>
    <control shapeId="10242" r:id="rId3" name="Open_Template"/>
    <control shapeId="10241" r:id="rId4" name="Run_Doc_Filler"/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>
    <tabColor theme="5" tint="0.39997558519241921"/>
  </sheetPr>
  <dimension ref="A1:F50"/>
  <sheetViews>
    <sheetView zoomScale="130" zoomScaleNormal="130" workbookViewId="0">
      <pane ySplit="5" topLeftCell="A6" activePane="bottomLeft" state="frozen"/>
      <selection activeCell="D40" sqref="D40"/>
      <selection pane="bottomLeft" activeCell="B30" sqref="B30"/>
    </sheetView>
  </sheetViews>
  <sheetFormatPr defaultColWidth="18.7109375" defaultRowHeight="15"/>
  <cols>
    <col min="1" max="6" width="16.5703125" style="15" customWidth="1"/>
  </cols>
  <sheetData>
    <row r="1" spans="1:6" s="27" customFormat="1" ht="39.950000000000003" customHeight="1">
      <c r="A1" s="26" t="s">
        <v>350</v>
      </c>
      <c r="B1" s="26"/>
      <c r="C1" s="26"/>
      <c r="D1" s="26"/>
    </row>
    <row r="2" spans="1:6">
      <c r="A2" s="30" t="s">
        <v>346</v>
      </c>
      <c r="B2" s="17"/>
      <c r="C2" s="17"/>
      <c r="D2" s="17"/>
      <c r="E2" s="17"/>
      <c r="F2" s="17"/>
    </row>
    <row r="3" spans="1:6">
      <c r="A3" s="30" t="s">
        <v>347</v>
      </c>
      <c r="B3" s="17"/>
      <c r="C3" s="17"/>
      <c r="D3" s="17"/>
      <c r="E3" s="17"/>
      <c r="F3" s="17"/>
    </row>
    <row r="4" spans="1:6">
      <c r="A4" s="30" t="s">
        <v>345</v>
      </c>
      <c r="B4" s="17"/>
      <c r="C4" s="17"/>
      <c r="D4" s="17"/>
      <c r="E4" s="17"/>
      <c r="F4" s="17"/>
    </row>
    <row r="5" spans="1:6">
      <c r="A5" s="15" t="s">
        <v>344</v>
      </c>
      <c r="B5" s="15" t="s">
        <v>141</v>
      </c>
      <c r="C5" s="15" t="s">
        <v>137</v>
      </c>
      <c r="D5" s="15" t="s">
        <v>138</v>
      </c>
      <c r="E5" s="15" t="s">
        <v>140</v>
      </c>
      <c r="F5" s="15" t="s">
        <v>139</v>
      </c>
    </row>
    <row r="6" spans="1:6">
      <c r="A6" s="15">
        <v>1</v>
      </c>
      <c r="B6" s="15" t="str">
        <f>"П" &amp;Спецификация[[#This Row],[ID]]</f>
        <v>П1</v>
      </c>
      <c r="C6" s="15" t="str">
        <f>"А"&amp;Спецификация[[#This Row],[ID]]</f>
        <v>А1</v>
      </c>
      <c r="D6" s="15" t="str">
        <f>"Н"&amp;Спецификация[[#This Row],[ID]]</f>
        <v>Н1</v>
      </c>
      <c r="E6" s="15" t="str">
        <f>"Е"&amp;Спецификация[[#This Row],[ID]]</f>
        <v>Е1</v>
      </c>
      <c r="F6" s="15" t="str">
        <f>"К"&amp;Спецификация[[#This Row],[ID]]</f>
        <v>К1</v>
      </c>
    </row>
    <row r="7" spans="1:6">
      <c r="A7" s="15">
        <v>1</v>
      </c>
      <c r="B7" s="15" t="str">
        <f>"П" &amp;Спецификация[[#This Row],[ID]]</f>
        <v>П1</v>
      </c>
      <c r="C7" s="15" t="str">
        <f>"А"&amp;Спецификация[[#This Row],[ID]]</f>
        <v>А1</v>
      </c>
      <c r="D7" s="15" t="str">
        <f>"Н"&amp;Спецификация[[#This Row],[ID]]</f>
        <v>Н1</v>
      </c>
      <c r="E7" s="15" t="str">
        <f>"Е"&amp;Спецификация[[#This Row],[ID]]</f>
        <v>Е1</v>
      </c>
      <c r="F7" s="15" t="str">
        <f>"К"&amp;Спецификация[[#This Row],[ID]]</f>
        <v>К1</v>
      </c>
    </row>
    <row r="8" spans="1:6">
      <c r="A8" s="15">
        <v>1</v>
      </c>
      <c r="B8" s="15" t="str">
        <f>"П" &amp;Спецификация[[#This Row],[ID]]</f>
        <v>П1</v>
      </c>
      <c r="C8" s="15" t="str">
        <f>"А"&amp;Спецификация[[#This Row],[ID]]</f>
        <v>А1</v>
      </c>
      <c r="D8" s="15" t="str">
        <f>"Н"&amp;Спецификация[[#This Row],[ID]]</f>
        <v>Н1</v>
      </c>
      <c r="E8" s="15" t="str">
        <f>"Е"&amp;Спецификация[[#This Row],[ID]]</f>
        <v>Е1</v>
      </c>
      <c r="F8" s="15" t="str">
        <f>"К"&amp;Спецификация[[#This Row],[ID]]</f>
        <v>К1</v>
      </c>
    </row>
    <row r="9" spans="1:6">
      <c r="A9" s="15">
        <v>2</v>
      </c>
      <c r="B9" s="15" t="str">
        <f>"П" &amp;Спецификация[[#This Row],[ID]]</f>
        <v>П2</v>
      </c>
      <c r="C9" s="15" t="str">
        <f>"А"&amp;Спецификация[[#This Row],[ID]]</f>
        <v>А2</v>
      </c>
      <c r="D9" s="15" t="str">
        <f>"Н"&amp;Спецификация[[#This Row],[ID]]</f>
        <v>Н2</v>
      </c>
      <c r="E9" s="15" t="str">
        <f>"Е"&amp;Спецификация[[#This Row],[ID]]</f>
        <v>Е2</v>
      </c>
      <c r="F9" s="15" t="str">
        <f>"К"&amp;Спецификация[[#This Row],[ID]]</f>
        <v>К2</v>
      </c>
    </row>
    <row r="10" spans="1:6">
      <c r="A10" s="15">
        <v>2</v>
      </c>
      <c r="B10" s="15" t="str">
        <f>"П" &amp;Спецификация[[#This Row],[ID]]</f>
        <v>П2</v>
      </c>
      <c r="C10" s="15" t="str">
        <f>"А"&amp;Спецификация[[#This Row],[ID]]</f>
        <v>А2</v>
      </c>
      <c r="D10" s="15" t="str">
        <f>"Н"&amp;Спецификация[[#This Row],[ID]]</f>
        <v>Н2</v>
      </c>
      <c r="E10" s="15" t="str">
        <f>"Е"&amp;Спецификация[[#This Row],[ID]]</f>
        <v>Е2</v>
      </c>
      <c r="F10" s="15" t="str">
        <f>"К"&amp;Спецификация[[#This Row],[ID]]</f>
        <v>К2</v>
      </c>
    </row>
    <row r="11" spans="1:6">
      <c r="A11" s="15">
        <v>2</v>
      </c>
      <c r="B11" s="15" t="str">
        <f>"П" &amp;Спецификация[[#This Row],[ID]]</f>
        <v>П2</v>
      </c>
      <c r="C11" s="15" t="str">
        <f>"А"&amp;Спецификация[[#This Row],[ID]]</f>
        <v>А2</v>
      </c>
      <c r="D11" s="15" t="str">
        <f>"Н"&amp;Спецификация[[#This Row],[ID]]</f>
        <v>Н2</v>
      </c>
      <c r="E11" s="15" t="str">
        <f>"Е"&amp;Спецификация[[#This Row],[ID]]</f>
        <v>Е2</v>
      </c>
      <c r="F11" s="15" t="str">
        <f>"К"&amp;Спецификация[[#This Row],[ID]]</f>
        <v>К2</v>
      </c>
    </row>
    <row r="12" spans="1:6">
      <c r="A12" s="15">
        <v>3</v>
      </c>
      <c r="B12" s="15" t="str">
        <f>"П" &amp;Спецификация[[#This Row],[ID]]</f>
        <v>П3</v>
      </c>
      <c r="C12" s="15" t="str">
        <f>"А"&amp;Спецификация[[#This Row],[ID]]</f>
        <v>А3</v>
      </c>
      <c r="D12" s="15" t="str">
        <f>"Н"&amp;Спецификация[[#This Row],[ID]]</f>
        <v>Н3</v>
      </c>
      <c r="E12" s="15" t="str">
        <f>"Е"&amp;Спецификация[[#This Row],[ID]]</f>
        <v>Е3</v>
      </c>
      <c r="F12" s="15" t="str">
        <f>"К"&amp;Спецификация[[#This Row],[ID]]</f>
        <v>К3</v>
      </c>
    </row>
    <row r="13" spans="1:6">
      <c r="A13" s="15">
        <v>3</v>
      </c>
      <c r="B13" s="15" t="str">
        <f>"П" &amp;Спецификация[[#This Row],[ID]]</f>
        <v>П3</v>
      </c>
      <c r="C13" s="15" t="str">
        <f>"А"&amp;Спецификация[[#This Row],[ID]]</f>
        <v>А3</v>
      </c>
      <c r="D13" s="15" t="str">
        <f>"Н"&amp;Спецификация[[#This Row],[ID]]</f>
        <v>Н3</v>
      </c>
      <c r="E13" s="15" t="str">
        <f>"Е"&amp;Спецификация[[#This Row],[ID]]</f>
        <v>Е3</v>
      </c>
      <c r="F13" s="15" t="str">
        <f>"К"&amp;Спецификация[[#This Row],[ID]]</f>
        <v>К3</v>
      </c>
    </row>
    <row r="14" spans="1:6">
      <c r="A14" s="15">
        <v>3</v>
      </c>
      <c r="B14" s="15" t="str">
        <f>"П" &amp;Спецификация[[#This Row],[ID]]</f>
        <v>П3</v>
      </c>
      <c r="C14" s="15" t="str">
        <f>"А"&amp;Спецификация[[#This Row],[ID]]</f>
        <v>А3</v>
      </c>
      <c r="D14" s="15" t="str">
        <f>"Н"&amp;Спецификация[[#This Row],[ID]]</f>
        <v>Н3</v>
      </c>
      <c r="E14" s="15" t="str">
        <f>"Е"&amp;Спецификация[[#This Row],[ID]]</f>
        <v>Е3</v>
      </c>
      <c r="F14" s="15" t="str">
        <f>"К"&amp;Спецификация[[#This Row],[ID]]</f>
        <v>К3</v>
      </c>
    </row>
    <row r="15" spans="1:6">
      <c r="A15" s="15">
        <v>4</v>
      </c>
      <c r="B15" s="15" t="str">
        <f>"П" &amp;Спецификация[[#This Row],[ID]]</f>
        <v>П4</v>
      </c>
      <c r="C15" s="15" t="str">
        <f>"А"&amp;Спецификация[[#This Row],[ID]]</f>
        <v>А4</v>
      </c>
      <c r="D15" s="15" t="str">
        <f>"Н"&amp;Спецификация[[#This Row],[ID]]</f>
        <v>Н4</v>
      </c>
      <c r="E15" s="15" t="str">
        <f>"Е"&amp;Спецификация[[#This Row],[ID]]</f>
        <v>Е4</v>
      </c>
      <c r="F15" s="15" t="str">
        <f>"К"&amp;Спецификация[[#This Row],[ID]]</f>
        <v>К4</v>
      </c>
    </row>
    <row r="16" spans="1:6">
      <c r="A16" s="15">
        <v>4</v>
      </c>
      <c r="B16" s="15" t="str">
        <f>"П" &amp;Спецификация[[#This Row],[ID]]</f>
        <v>П4</v>
      </c>
      <c r="C16" s="15" t="str">
        <f>"А"&amp;Спецификация[[#This Row],[ID]]</f>
        <v>А4</v>
      </c>
      <c r="D16" s="15" t="str">
        <f>"Н"&amp;Спецификация[[#This Row],[ID]]</f>
        <v>Н4</v>
      </c>
      <c r="E16" s="15" t="str">
        <f>"Е"&amp;Спецификация[[#This Row],[ID]]</f>
        <v>Е4</v>
      </c>
      <c r="F16" s="15" t="str">
        <f>"К"&amp;Спецификация[[#This Row],[ID]]</f>
        <v>К4</v>
      </c>
    </row>
    <row r="17" spans="1:6">
      <c r="A17" s="15">
        <v>4</v>
      </c>
      <c r="B17" s="15" t="str">
        <f>"П" &amp;Спецификация[[#This Row],[ID]]</f>
        <v>П4</v>
      </c>
      <c r="C17" s="15" t="str">
        <f>"А"&amp;Спецификация[[#This Row],[ID]]</f>
        <v>А4</v>
      </c>
      <c r="D17" s="15" t="str">
        <f>"Н"&amp;Спецификация[[#This Row],[ID]]</f>
        <v>Н4</v>
      </c>
      <c r="E17" s="15" t="str">
        <f>"Е"&amp;Спецификация[[#This Row],[ID]]</f>
        <v>Е4</v>
      </c>
      <c r="F17" s="15" t="str">
        <f>"К"&amp;Спецификация[[#This Row],[ID]]</f>
        <v>К4</v>
      </c>
    </row>
    <row r="18" spans="1:6">
      <c r="A18" s="15">
        <v>5</v>
      </c>
      <c r="B18" s="15" t="str">
        <f>"П" &amp;Спецификация[[#This Row],[ID]]</f>
        <v>П5</v>
      </c>
      <c r="C18" s="15" t="str">
        <f>"А"&amp;Спецификация[[#This Row],[ID]]</f>
        <v>А5</v>
      </c>
      <c r="D18" s="15" t="str">
        <f>"Н"&amp;Спецификация[[#This Row],[ID]]</f>
        <v>Н5</v>
      </c>
      <c r="E18" s="15" t="str">
        <f>"Е"&amp;Спецификация[[#This Row],[ID]]</f>
        <v>Е5</v>
      </c>
      <c r="F18" s="15" t="str">
        <f>"К"&amp;Спецификация[[#This Row],[ID]]</f>
        <v>К5</v>
      </c>
    </row>
    <row r="19" spans="1:6">
      <c r="A19" s="15">
        <v>5</v>
      </c>
      <c r="B19" s="15" t="str">
        <f>"П" &amp;Спецификация[[#This Row],[ID]]</f>
        <v>П5</v>
      </c>
      <c r="C19" s="15" t="str">
        <f>"А"&amp;Спецификация[[#This Row],[ID]]</f>
        <v>А5</v>
      </c>
      <c r="D19" s="15" t="str">
        <f>"Н"&amp;Спецификация[[#This Row],[ID]]</f>
        <v>Н5</v>
      </c>
      <c r="E19" s="15" t="str">
        <f>"Е"&amp;Спецификация[[#This Row],[ID]]</f>
        <v>Е5</v>
      </c>
      <c r="F19" s="15" t="str">
        <f>"К"&amp;Спецификация[[#This Row],[ID]]</f>
        <v>К5</v>
      </c>
    </row>
    <row r="20" spans="1:6">
      <c r="A20" s="15">
        <v>5</v>
      </c>
      <c r="B20" s="15" t="str">
        <f>"П" &amp;Спецификация[[#This Row],[ID]]</f>
        <v>П5</v>
      </c>
      <c r="C20" s="15" t="str">
        <f>"А"&amp;Спецификация[[#This Row],[ID]]</f>
        <v>А5</v>
      </c>
      <c r="D20" s="15" t="str">
        <f>"Н"&amp;Спецификация[[#This Row],[ID]]</f>
        <v>Н5</v>
      </c>
      <c r="E20" s="15" t="str">
        <f>"Е"&amp;Спецификация[[#This Row],[ID]]</f>
        <v>Е5</v>
      </c>
      <c r="F20" s="15" t="str">
        <f>"К"&amp;Спецификация[[#This Row],[ID]]</f>
        <v>К5</v>
      </c>
    </row>
    <row r="21" spans="1:6">
      <c r="A21" s="15">
        <v>6</v>
      </c>
      <c r="B21" s="15" t="str">
        <f>"П" &amp;Спецификация[[#This Row],[ID]]</f>
        <v>П6</v>
      </c>
      <c r="C21" s="15" t="str">
        <f>"А"&amp;Спецификация[[#This Row],[ID]]</f>
        <v>А6</v>
      </c>
      <c r="D21" s="15" t="str">
        <f>"Н"&amp;Спецификация[[#This Row],[ID]]</f>
        <v>Н6</v>
      </c>
      <c r="E21" s="15" t="str">
        <f>"Е"&amp;Спецификация[[#This Row],[ID]]</f>
        <v>Е6</v>
      </c>
      <c r="F21" s="15" t="str">
        <f>"К"&amp;Спецификация[[#This Row],[ID]]</f>
        <v>К6</v>
      </c>
    </row>
    <row r="22" spans="1:6">
      <c r="A22" s="15">
        <v>6</v>
      </c>
      <c r="B22" s="15" t="str">
        <f>"П" &amp;Спецификация[[#This Row],[ID]]</f>
        <v>П6</v>
      </c>
      <c r="C22" s="15" t="str">
        <f>"А"&amp;Спецификация[[#This Row],[ID]]</f>
        <v>А6</v>
      </c>
      <c r="D22" s="15" t="str">
        <f>"Н"&amp;Спецификация[[#This Row],[ID]]</f>
        <v>Н6</v>
      </c>
      <c r="E22" s="15" t="str">
        <f>"Е"&amp;Спецификация[[#This Row],[ID]]</f>
        <v>Е6</v>
      </c>
      <c r="F22" s="15" t="str">
        <f>"К"&amp;Спецификация[[#This Row],[ID]]</f>
        <v>К6</v>
      </c>
    </row>
    <row r="23" spans="1:6">
      <c r="A23" s="15">
        <v>6</v>
      </c>
      <c r="B23" s="15" t="str">
        <f>"П" &amp;Спецификация[[#This Row],[ID]]</f>
        <v>П6</v>
      </c>
      <c r="C23" s="15" t="str">
        <f>"А"&amp;Спецификация[[#This Row],[ID]]</f>
        <v>А6</v>
      </c>
      <c r="D23" s="15" t="str">
        <f>"Н"&amp;Спецификация[[#This Row],[ID]]</f>
        <v>Н6</v>
      </c>
      <c r="E23" s="15" t="str">
        <f>"Е"&amp;Спецификация[[#This Row],[ID]]</f>
        <v>Е6</v>
      </c>
      <c r="F23" s="15" t="str">
        <f>"К"&amp;Спецификация[[#This Row],[ID]]</f>
        <v>К6</v>
      </c>
    </row>
    <row r="24" spans="1:6">
      <c r="A24" s="15">
        <v>7</v>
      </c>
      <c r="B24" s="15" t="str">
        <f>"П" &amp;Спецификация[[#This Row],[ID]]</f>
        <v>П7</v>
      </c>
      <c r="C24" s="15" t="str">
        <f>"А"&amp;Спецификация[[#This Row],[ID]]</f>
        <v>А7</v>
      </c>
      <c r="D24" s="15" t="str">
        <f>"Н"&amp;Спецификация[[#This Row],[ID]]</f>
        <v>Н7</v>
      </c>
      <c r="E24" s="15" t="str">
        <f>"Е"&amp;Спецификация[[#This Row],[ID]]</f>
        <v>Е7</v>
      </c>
      <c r="F24" s="15" t="str">
        <f>"К"&amp;Спецификация[[#This Row],[ID]]</f>
        <v>К7</v>
      </c>
    </row>
    <row r="25" spans="1:6">
      <c r="A25" s="15">
        <v>7</v>
      </c>
      <c r="B25" s="15" t="str">
        <f>"П" &amp;Спецификация[[#This Row],[ID]]</f>
        <v>П7</v>
      </c>
      <c r="C25" s="15" t="str">
        <f>"А"&amp;Спецификация[[#This Row],[ID]]</f>
        <v>А7</v>
      </c>
      <c r="D25" s="15" t="str">
        <f>"Н"&amp;Спецификация[[#This Row],[ID]]</f>
        <v>Н7</v>
      </c>
      <c r="E25" s="15" t="str">
        <f>"Е"&amp;Спецификация[[#This Row],[ID]]</f>
        <v>Е7</v>
      </c>
      <c r="F25" s="15" t="str">
        <f>"К"&amp;Спецификация[[#This Row],[ID]]</f>
        <v>К7</v>
      </c>
    </row>
    <row r="26" spans="1:6">
      <c r="A26" s="15">
        <v>7</v>
      </c>
      <c r="B26" s="15" t="str">
        <f>"П" &amp;Спецификация[[#This Row],[ID]]</f>
        <v>П7</v>
      </c>
      <c r="C26" s="15" t="str">
        <f>"А"&amp;Спецификация[[#This Row],[ID]]</f>
        <v>А7</v>
      </c>
      <c r="D26" s="15" t="str">
        <f>"Н"&amp;Спецификация[[#This Row],[ID]]</f>
        <v>Н7</v>
      </c>
      <c r="E26" s="15" t="str">
        <f>"Е"&amp;Спецификация[[#This Row],[ID]]</f>
        <v>Е7</v>
      </c>
      <c r="F26" s="15" t="str">
        <f>"К"&amp;Спецификация[[#This Row],[ID]]</f>
        <v>К7</v>
      </c>
    </row>
    <row r="27" spans="1:6">
      <c r="A27" s="15">
        <v>8</v>
      </c>
      <c r="B27" s="15" t="str">
        <f>"П" &amp;Спецификация[[#This Row],[ID]]</f>
        <v>П8</v>
      </c>
      <c r="C27" s="15" t="str">
        <f>"А"&amp;Спецификация[[#This Row],[ID]]</f>
        <v>А8</v>
      </c>
      <c r="D27" s="15" t="str">
        <f>"Н"&amp;Спецификация[[#This Row],[ID]]</f>
        <v>Н8</v>
      </c>
      <c r="E27" s="15" t="str">
        <f>"Е"&amp;Спецификация[[#This Row],[ID]]</f>
        <v>Е8</v>
      </c>
      <c r="F27" s="15" t="str">
        <f>"К"&amp;Спецификация[[#This Row],[ID]]</f>
        <v>К8</v>
      </c>
    </row>
    <row r="28" spans="1:6">
      <c r="A28" s="15">
        <v>8</v>
      </c>
      <c r="B28" s="15" t="str">
        <f>"П" &amp;Спецификация[[#This Row],[ID]]</f>
        <v>П8</v>
      </c>
      <c r="C28" s="15" t="str">
        <f>"А"&amp;Спецификация[[#This Row],[ID]]</f>
        <v>А8</v>
      </c>
      <c r="D28" s="15" t="str">
        <f>"Н"&amp;Спецификация[[#This Row],[ID]]</f>
        <v>Н8</v>
      </c>
      <c r="E28" s="15" t="str">
        <f>"Е"&amp;Спецификация[[#This Row],[ID]]</f>
        <v>Е8</v>
      </c>
      <c r="F28" s="15" t="str">
        <f>"К"&amp;Спецификация[[#This Row],[ID]]</f>
        <v>К8</v>
      </c>
    </row>
    <row r="29" spans="1:6">
      <c r="A29" s="15">
        <v>8</v>
      </c>
      <c r="B29" s="15" t="str">
        <f>"П" &amp;Спецификация[[#This Row],[ID]]</f>
        <v>П8</v>
      </c>
      <c r="C29" s="15" t="str">
        <f>"А"&amp;Спецификация[[#This Row],[ID]]</f>
        <v>А8</v>
      </c>
      <c r="D29" s="15" t="str">
        <f>"Н"&amp;Спецификация[[#This Row],[ID]]</f>
        <v>Н8</v>
      </c>
      <c r="E29" s="15" t="str">
        <f>"Е"&amp;Спецификация[[#This Row],[ID]]</f>
        <v>Е8</v>
      </c>
      <c r="F29" s="15" t="str">
        <f>"К"&amp;Спецификация[[#This Row],[ID]]</f>
        <v>К8</v>
      </c>
    </row>
    <row r="30" spans="1:6">
      <c r="A30" s="15">
        <v>9</v>
      </c>
      <c r="B30" s="15" t="str">
        <f>"П" &amp;Спецификация[[#This Row],[ID]]</f>
        <v>П9</v>
      </c>
      <c r="C30" s="15" t="str">
        <f>"А"&amp;Спецификация[[#This Row],[ID]]</f>
        <v>А9</v>
      </c>
      <c r="D30" s="15" t="str">
        <f>"Н"&amp;Спецификация[[#This Row],[ID]]</f>
        <v>Н9</v>
      </c>
      <c r="E30" s="15" t="str">
        <f>"Е"&amp;Спецификация[[#This Row],[ID]]</f>
        <v>Е9</v>
      </c>
      <c r="F30" s="15" t="str">
        <f>"К"&amp;Спецификация[[#This Row],[ID]]</f>
        <v>К9</v>
      </c>
    </row>
    <row r="31" spans="1:6">
      <c r="A31" s="15">
        <v>9</v>
      </c>
      <c r="B31" s="15" t="str">
        <f>"П" &amp;Спецификация[[#This Row],[ID]]</f>
        <v>П9</v>
      </c>
      <c r="C31" s="15" t="str">
        <f>"А"&amp;Спецификация[[#This Row],[ID]]</f>
        <v>А9</v>
      </c>
      <c r="D31" s="15" t="str">
        <f>"Н"&amp;Спецификация[[#This Row],[ID]]</f>
        <v>Н9</v>
      </c>
      <c r="E31" s="15" t="str">
        <f>"Е"&amp;Спецификация[[#This Row],[ID]]</f>
        <v>Е9</v>
      </c>
      <c r="F31" s="15" t="str">
        <f>"К"&amp;Спецификация[[#This Row],[ID]]</f>
        <v>К9</v>
      </c>
    </row>
    <row r="32" spans="1:6">
      <c r="A32" s="15">
        <v>9</v>
      </c>
      <c r="B32" s="15" t="str">
        <f>"П" &amp;Спецификация[[#This Row],[ID]]</f>
        <v>П9</v>
      </c>
      <c r="C32" s="15" t="str">
        <f>"А"&amp;Спецификация[[#This Row],[ID]]</f>
        <v>А9</v>
      </c>
      <c r="D32" s="15" t="str">
        <f>"Н"&amp;Спецификация[[#This Row],[ID]]</f>
        <v>Н9</v>
      </c>
      <c r="E32" s="15" t="str">
        <f>"Е"&amp;Спецификация[[#This Row],[ID]]</f>
        <v>Е9</v>
      </c>
      <c r="F32" s="15" t="str">
        <f>"К"&amp;Спецификация[[#This Row],[ID]]</f>
        <v>К9</v>
      </c>
    </row>
    <row r="33" spans="1:6">
      <c r="A33" s="15">
        <v>10</v>
      </c>
      <c r="B33" s="15" t="str">
        <f>"П" &amp;Спецификация[[#This Row],[ID]]</f>
        <v>П10</v>
      </c>
      <c r="C33" s="15" t="str">
        <f>"А"&amp;Спецификация[[#This Row],[ID]]</f>
        <v>А10</v>
      </c>
      <c r="D33" s="15" t="str">
        <f>"Н"&amp;Спецификация[[#This Row],[ID]]</f>
        <v>Н10</v>
      </c>
      <c r="E33" s="15" t="str">
        <f>"Е"&amp;Спецификация[[#This Row],[ID]]</f>
        <v>Е10</v>
      </c>
      <c r="F33" s="15" t="str">
        <f>"К"&amp;Спецификация[[#This Row],[ID]]</f>
        <v>К10</v>
      </c>
    </row>
    <row r="34" spans="1:6">
      <c r="A34" s="15">
        <v>10</v>
      </c>
      <c r="B34" s="15" t="str">
        <f>"П" &amp;Спецификация[[#This Row],[ID]]</f>
        <v>П10</v>
      </c>
      <c r="C34" s="15" t="str">
        <f>"А"&amp;Спецификация[[#This Row],[ID]]</f>
        <v>А10</v>
      </c>
      <c r="D34" s="15" t="str">
        <f>"Н"&amp;Спецификация[[#This Row],[ID]]</f>
        <v>Н10</v>
      </c>
      <c r="E34" s="15" t="str">
        <f>"Е"&amp;Спецификация[[#This Row],[ID]]</f>
        <v>Е10</v>
      </c>
      <c r="F34" s="15" t="str">
        <f>"К"&amp;Спецификация[[#This Row],[ID]]</f>
        <v>К10</v>
      </c>
    </row>
    <row r="35" spans="1:6">
      <c r="A35" s="15">
        <v>10</v>
      </c>
      <c r="B35" s="15" t="str">
        <f>"П" &amp;Спецификация[[#This Row],[ID]]</f>
        <v>П10</v>
      </c>
      <c r="C35" s="15" t="str">
        <f>"А"&amp;Спецификация[[#This Row],[ID]]</f>
        <v>А10</v>
      </c>
      <c r="D35" s="15" t="str">
        <f>"Н"&amp;Спецификация[[#This Row],[ID]]</f>
        <v>Н10</v>
      </c>
      <c r="E35" s="15" t="str">
        <f>"Е"&amp;Спецификация[[#This Row],[ID]]</f>
        <v>Е10</v>
      </c>
      <c r="F35" s="15" t="str">
        <f>"К"&amp;Спецификация[[#This Row],[ID]]</f>
        <v>К10</v>
      </c>
    </row>
    <row r="36" spans="1:6">
      <c r="A36" s="15">
        <v>11</v>
      </c>
      <c r="B36" s="16" t="str">
        <f>"П" &amp;Спецификация[[#This Row],[ID]]</f>
        <v>П11</v>
      </c>
      <c r="C36" s="16" t="str">
        <f>"А"&amp;Спецификация[[#This Row],[ID]]</f>
        <v>А11</v>
      </c>
      <c r="D36" s="16" t="str">
        <f>"Н"&amp;Спецификация[[#This Row],[ID]]</f>
        <v>Н11</v>
      </c>
      <c r="E36" s="16" t="str">
        <f>"Е"&amp;Спецификация[[#This Row],[ID]]</f>
        <v>Е11</v>
      </c>
      <c r="F36" s="16" t="str">
        <f>"К"&amp;Спецификация[[#This Row],[ID]]</f>
        <v>К11</v>
      </c>
    </row>
    <row r="37" spans="1:6">
      <c r="A37" s="15">
        <v>11</v>
      </c>
      <c r="B37" s="16" t="str">
        <f>"П" &amp;Спецификация[[#This Row],[ID]]</f>
        <v>П11</v>
      </c>
      <c r="C37" s="16" t="str">
        <f>"А"&amp;Спецификация[[#This Row],[ID]]</f>
        <v>А11</v>
      </c>
      <c r="D37" s="16" t="str">
        <f>"Н"&amp;Спецификация[[#This Row],[ID]]</f>
        <v>Н11</v>
      </c>
      <c r="E37" s="16" t="str">
        <f>"Е"&amp;Спецификация[[#This Row],[ID]]</f>
        <v>Е11</v>
      </c>
      <c r="F37" s="16" t="str">
        <f>"К"&amp;Спецификация[[#This Row],[ID]]</f>
        <v>К11</v>
      </c>
    </row>
    <row r="38" spans="1:6">
      <c r="A38" s="15">
        <v>11</v>
      </c>
      <c r="B38" s="16" t="str">
        <f>"П" &amp;Спецификация[[#This Row],[ID]]</f>
        <v>П11</v>
      </c>
      <c r="C38" s="16" t="str">
        <f>"А"&amp;Спецификация[[#This Row],[ID]]</f>
        <v>А11</v>
      </c>
      <c r="D38" s="16" t="str">
        <f>"Н"&amp;Спецификация[[#This Row],[ID]]</f>
        <v>Н11</v>
      </c>
      <c r="E38" s="16" t="str">
        <f>"Е"&amp;Спецификация[[#This Row],[ID]]</f>
        <v>Е11</v>
      </c>
      <c r="F38" s="16" t="str">
        <f>"К"&amp;Спецификация[[#This Row],[ID]]</f>
        <v>К11</v>
      </c>
    </row>
    <row r="39" spans="1:6">
      <c r="A39" s="15">
        <v>12</v>
      </c>
      <c r="B39" s="16" t="str">
        <f>"П" &amp;Спецификация[[#This Row],[ID]]</f>
        <v>П12</v>
      </c>
      <c r="C39" s="16" t="str">
        <f>"А"&amp;Спецификация[[#This Row],[ID]]</f>
        <v>А12</v>
      </c>
      <c r="D39" s="16" t="str">
        <f>"Н"&amp;Спецификация[[#This Row],[ID]]</f>
        <v>Н12</v>
      </c>
      <c r="E39" s="16" t="str">
        <f>"Е"&amp;Спецификация[[#This Row],[ID]]</f>
        <v>Е12</v>
      </c>
      <c r="F39" s="16" t="str">
        <f>"К"&amp;Спецификация[[#This Row],[ID]]</f>
        <v>К12</v>
      </c>
    </row>
    <row r="40" spans="1:6">
      <c r="A40" s="15">
        <v>12</v>
      </c>
      <c r="B40" s="16" t="str">
        <f>"П" &amp;Спецификация[[#This Row],[ID]]</f>
        <v>П12</v>
      </c>
      <c r="C40" s="16" t="str">
        <f>"А"&amp;Спецификация[[#This Row],[ID]]</f>
        <v>А12</v>
      </c>
      <c r="D40" s="16" t="str">
        <f>"Н"&amp;Спецификация[[#This Row],[ID]]</f>
        <v>Н12</v>
      </c>
      <c r="E40" s="16" t="str">
        <f>"Е"&amp;Спецификация[[#This Row],[ID]]</f>
        <v>Е12</v>
      </c>
      <c r="F40" s="16" t="str">
        <f>"К"&amp;Спецификация[[#This Row],[ID]]</f>
        <v>К12</v>
      </c>
    </row>
    <row r="41" spans="1:6">
      <c r="A41" s="15">
        <v>12</v>
      </c>
      <c r="B41" s="16" t="str">
        <f>"П" &amp;Спецификация[[#This Row],[ID]]</f>
        <v>П12</v>
      </c>
      <c r="C41" s="16" t="str">
        <f>"А"&amp;Спецификация[[#This Row],[ID]]</f>
        <v>А12</v>
      </c>
      <c r="D41" s="16" t="str">
        <f>"Н"&amp;Спецификация[[#This Row],[ID]]</f>
        <v>Н12</v>
      </c>
      <c r="E41" s="16" t="str">
        <f>"Е"&amp;Спецификация[[#This Row],[ID]]</f>
        <v>Е12</v>
      </c>
      <c r="F41" s="16" t="str">
        <f>"К"&amp;Спецификация[[#This Row],[ID]]</f>
        <v>К12</v>
      </c>
    </row>
    <row r="42" spans="1:6">
      <c r="A42" s="15">
        <v>13</v>
      </c>
      <c r="B42" s="16" t="str">
        <f>"П" &amp;Спецификация[[#This Row],[ID]]</f>
        <v>П13</v>
      </c>
      <c r="C42" s="16" t="str">
        <f>"А"&amp;Спецификация[[#This Row],[ID]]</f>
        <v>А13</v>
      </c>
      <c r="D42" s="16" t="str">
        <f>"Н"&amp;Спецификация[[#This Row],[ID]]</f>
        <v>Н13</v>
      </c>
      <c r="E42" s="16" t="str">
        <f>"Е"&amp;Спецификация[[#This Row],[ID]]</f>
        <v>Е13</v>
      </c>
      <c r="F42" s="16" t="str">
        <f>"К"&amp;Спецификация[[#This Row],[ID]]</f>
        <v>К13</v>
      </c>
    </row>
    <row r="43" spans="1:6">
      <c r="A43" s="15">
        <v>13</v>
      </c>
      <c r="B43" s="16" t="str">
        <f>"П" &amp;Спецификация[[#This Row],[ID]]</f>
        <v>П13</v>
      </c>
      <c r="C43" s="16" t="str">
        <f>"А"&amp;Спецификация[[#This Row],[ID]]</f>
        <v>А13</v>
      </c>
      <c r="D43" s="16" t="str">
        <f>"Н"&amp;Спецификация[[#This Row],[ID]]</f>
        <v>Н13</v>
      </c>
      <c r="E43" s="16" t="str">
        <f>"Е"&amp;Спецификация[[#This Row],[ID]]</f>
        <v>Е13</v>
      </c>
      <c r="F43" s="16" t="str">
        <f>"К"&amp;Спецификация[[#This Row],[ID]]</f>
        <v>К13</v>
      </c>
    </row>
    <row r="44" spans="1:6">
      <c r="A44" s="15">
        <v>13</v>
      </c>
      <c r="B44" s="16" t="str">
        <f>"П" &amp;Спецификация[[#This Row],[ID]]</f>
        <v>П13</v>
      </c>
      <c r="C44" s="16" t="str">
        <f>"А"&amp;Спецификация[[#This Row],[ID]]</f>
        <v>А13</v>
      </c>
      <c r="D44" s="16" t="str">
        <f>"Н"&amp;Спецификация[[#This Row],[ID]]</f>
        <v>Н13</v>
      </c>
      <c r="E44" s="16" t="str">
        <f>"Е"&amp;Спецификация[[#This Row],[ID]]</f>
        <v>Е13</v>
      </c>
      <c r="F44" s="16" t="str">
        <f>"К"&amp;Спецификация[[#This Row],[ID]]</f>
        <v>К13</v>
      </c>
    </row>
    <row r="45" spans="1:6">
      <c r="A45" s="15">
        <v>14</v>
      </c>
      <c r="B45" s="16" t="str">
        <f>"П" &amp;Спецификация[[#This Row],[ID]]</f>
        <v>П14</v>
      </c>
      <c r="C45" s="16" t="str">
        <f>"А"&amp;Спецификация[[#This Row],[ID]]</f>
        <v>А14</v>
      </c>
      <c r="D45" s="16" t="str">
        <f>"Н"&amp;Спецификация[[#This Row],[ID]]</f>
        <v>Н14</v>
      </c>
      <c r="E45" s="16" t="str">
        <f>"Е"&amp;Спецификация[[#This Row],[ID]]</f>
        <v>Е14</v>
      </c>
      <c r="F45" s="16" t="str">
        <f>"К"&amp;Спецификация[[#This Row],[ID]]</f>
        <v>К14</v>
      </c>
    </row>
    <row r="46" spans="1:6">
      <c r="A46" s="15">
        <v>14</v>
      </c>
      <c r="B46" s="16" t="str">
        <f>"П" &amp;Спецификация[[#This Row],[ID]]</f>
        <v>П14</v>
      </c>
      <c r="C46" s="16" t="str">
        <f>"А"&amp;Спецификация[[#This Row],[ID]]</f>
        <v>А14</v>
      </c>
      <c r="D46" s="16" t="str">
        <f>"Н"&amp;Спецификация[[#This Row],[ID]]</f>
        <v>Н14</v>
      </c>
      <c r="E46" s="16" t="str">
        <f>"Е"&amp;Спецификация[[#This Row],[ID]]</f>
        <v>Е14</v>
      </c>
      <c r="F46" s="16" t="str">
        <f>"К"&amp;Спецификация[[#This Row],[ID]]</f>
        <v>К14</v>
      </c>
    </row>
    <row r="47" spans="1:6">
      <c r="A47" s="15">
        <v>14</v>
      </c>
      <c r="B47" s="16" t="str">
        <f>"П" &amp;Спецификация[[#This Row],[ID]]</f>
        <v>П14</v>
      </c>
      <c r="C47" s="16" t="str">
        <f>"А"&amp;Спецификация[[#This Row],[ID]]</f>
        <v>А14</v>
      </c>
      <c r="D47" s="16" t="str">
        <f>"Н"&amp;Спецификация[[#This Row],[ID]]</f>
        <v>Н14</v>
      </c>
      <c r="E47" s="16" t="str">
        <f>"Е"&amp;Спецификация[[#This Row],[ID]]</f>
        <v>Е14</v>
      </c>
      <c r="F47" s="16" t="str">
        <f>"К"&amp;Спецификация[[#This Row],[ID]]</f>
        <v>К14</v>
      </c>
    </row>
    <row r="48" spans="1:6">
      <c r="A48" s="15">
        <v>15</v>
      </c>
      <c r="B48" s="16" t="str">
        <f>"П" &amp;Спецификация[[#This Row],[ID]]</f>
        <v>П15</v>
      </c>
      <c r="C48" s="16" t="str">
        <f>"А"&amp;Спецификация[[#This Row],[ID]]</f>
        <v>А15</v>
      </c>
      <c r="D48" s="16" t="str">
        <f>"Н"&amp;Спецификация[[#This Row],[ID]]</f>
        <v>Н15</v>
      </c>
      <c r="E48" s="16" t="str">
        <f>"Е"&amp;Спецификация[[#This Row],[ID]]</f>
        <v>Е15</v>
      </c>
      <c r="F48" s="16" t="str">
        <f>"К"&amp;Спецификация[[#This Row],[ID]]</f>
        <v>К15</v>
      </c>
    </row>
    <row r="49" spans="1:6">
      <c r="A49" s="15">
        <v>15</v>
      </c>
      <c r="B49" s="16" t="str">
        <f>"П" &amp;Спецификация[[#This Row],[ID]]</f>
        <v>П15</v>
      </c>
      <c r="C49" s="16" t="str">
        <f>"А"&amp;Спецификация[[#This Row],[ID]]</f>
        <v>А15</v>
      </c>
      <c r="D49" s="16" t="str">
        <f>"Н"&amp;Спецификация[[#This Row],[ID]]</f>
        <v>Н15</v>
      </c>
      <c r="E49" s="16" t="str">
        <f>"Е"&amp;Спецификация[[#This Row],[ID]]</f>
        <v>Е15</v>
      </c>
      <c r="F49" s="16" t="str">
        <f>"К"&amp;Спецификация[[#This Row],[ID]]</f>
        <v>К15</v>
      </c>
    </row>
    <row r="50" spans="1:6">
      <c r="A50" s="15">
        <v>15</v>
      </c>
      <c r="B50" s="16" t="str">
        <f>"П" &amp;Спецификация[[#This Row],[ID]]</f>
        <v>П15</v>
      </c>
      <c r="C50" s="16" t="str">
        <f>"А"&amp;Спецификация[[#This Row],[ID]]</f>
        <v>А15</v>
      </c>
      <c r="D50" s="16" t="str">
        <f>"Н"&amp;Спецификация[[#This Row],[ID]]</f>
        <v>Н15</v>
      </c>
      <c r="E50" s="16" t="str">
        <f>"Е"&amp;Спецификация[[#This Row],[ID]]</f>
        <v>Е15</v>
      </c>
      <c r="F50" s="16" t="str">
        <f>"К"&amp;Спецификация[[#This Row],[ID]]</f>
        <v>К15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8">
    <tabColor theme="5" tint="0.39997558519241921"/>
  </sheetPr>
  <dimension ref="A1:F35"/>
  <sheetViews>
    <sheetView zoomScale="130" zoomScaleNormal="130" workbookViewId="0">
      <pane ySplit="5" topLeftCell="A6" activePane="bottomLeft" state="frozen"/>
      <selection activeCell="D40" sqref="D40"/>
      <selection pane="bottomLeft"/>
    </sheetView>
  </sheetViews>
  <sheetFormatPr defaultColWidth="18.7109375" defaultRowHeight="15"/>
  <cols>
    <col min="1" max="3" width="18.7109375" style="15"/>
  </cols>
  <sheetData>
    <row r="1" spans="1:6" s="27" customFormat="1" ht="39.950000000000003" customHeight="1">
      <c r="A1" s="26" t="s">
        <v>350</v>
      </c>
      <c r="B1" s="28"/>
      <c r="C1" s="28"/>
    </row>
    <row r="2" spans="1:6">
      <c r="A2" s="30" t="s">
        <v>346</v>
      </c>
      <c r="B2" s="17"/>
      <c r="C2" s="17"/>
      <c r="D2" s="17"/>
      <c r="E2" s="17"/>
      <c r="F2" s="17"/>
    </row>
    <row r="3" spans="1:6">
      <c r="A3" s="30" t="s">
        <v>345</v>
      </c>
      <c r="B3" s="17"/>
      <c r="C3" s="17"/>
      <c r="D3" s="17"/>
      <c r="E3" s="17"/>
      <c r="F3" s="17"/>
    </row>
    <row r="4" spans="1:6">
      <c r="A4" s="30" t="s">
        <v>347</v>
      </c>
      <c r="B4" s="17"/>
      <c r="C4" s="17"/>
      <c r="D4" s="17"/>
      <c r="E4" s="17"/>
      <c r="F4" s="17"/>
    </row>
    <row r="5" spans="1:6">
      <c r="A5" s="15" t="s">
        <v>344</v>
      </c>
      <c r="B5" s="15" t="s">
        <v>153</v>
      </c>
      <c r="C5" s="15" t="s">
        <v>154</v>
      </c>
    </row>
    <row r="6" spans="1:6">
      <c r="A6" s="15">
        <v>1</v>
      </c>
      <c r="B6" s="15" t="s">
        <v>157</v>
      </c>
      <c r="C6" s="15" t="s">
        <v>155</v>
      </c>
    </row>
    <row r="7" spans="1:6">
      <c r="A7" s="15">
        <v>1</v>
      </c>
      <c r="B7" s="15" t="s">
        <v>159</v>
      </c>
      <c r="C7" s="15" t="s">
        <v>160</v>
      </c>
    </row>
    <row r="8" spans="1:6">
      <c r="A8" s="15">
        <v>2</v>
      </c>
      <c r="B8" s="15" t="s">
        <v>161</v>
      </c>
      <c r="C8" s="15" t="s">
        <v>162</v>
      </c>
    </row>
    <row r="9" spans="1:6">
      <c r="A9" s="15">
        <v>2</v>
      </c>
      <c r="B9" s="15" t="s">
        <v>163</v>
      </c>
      <c r="C9" s="15" t="s">
        <v>164</v>
      </c>
    </row>
    <row r="10" spans="1:6">
      <c r="A10" s="15">
        <v>3</v>
      </c>
      <c r="B10" s="15" t="s">
        <v>165</v>
      </c>
      <c r="C10" s="15" t="s">
        <v>166</v>
      </c>
    </row>
    <row r="11" spans="1:6">
      <c r="A11" s="15">
        <v>3</v>
      </c>
      <c r="B11" s="15" t="s">
        <v>167</v>
      </c>
      <c r="C11" s="15" t="s">
        <v>168</v>
      </c>
    </row>
    <row r="12" spans="1:6">
      <c r="A12" s="15">
        <v>4</v>
      </c>
      <c r="B12" s="15" t="s">
        <v>169</v>
      </c>
      <c r="C12" s="15" t="s">
        <v>170</v>
      </c>
    </row>
    <row r="13" spans="1:6">
      <c r="A13" s="15">
        <v>4</v>
      </c>
      <c r="B13" s="15" t="s">
        <v>171</v>
      </c>
      <c r="C13" s="15" t="s">
        <v>172</v>
      </c>
    </row>
    <row r="14" spans="1:6">
      <c r="A14" s="15">
        <v>5</v>
      </c>
      <c r="B14" s="15" t="s">
        <v>173</v>
      </c>
      <c r="C14" s="15" t="s">
        <v>174</v>
      </c>
    </row>
    <row r="15" spans="1:6">
      <c r="A15" s="15">
        <v>5</v>
      </c>
      <c r="B15" s="15" t="s">
        <v>175</v>
      </c>
      <c r="C15" s="15" t="s">
        <v>176</v>
      </c>
    </row>
    <row r="16" spans="1:6">
      <c r="A16" s="15">
        <v>6</v>
      </c>
      <c r="B16" s="15" t="s">
        <v>177</v>
      </c>
      <c r="C16" s="15" t="s">
        <v>178</v>
      </c>
    </row>
    <row r="17" spans="1:3">
      <c r="A17" s="15">
        <v>6</v>
      </c>
      <c r="B17" s="15" t="s">
        <v>179</v>
      </c>
      <c r="C17" s="15" t="s">
        <v>180</v>
      </c>
    </row>
    <row r="18" spans="1:3">
      <c r="A18" s="15">
        <v>7</v>
      </c>
      <c r="B18" s="15" t="s">
        <v>181</v>
      </c>
      <c r="C18" s="15" t="s">
        <v>182</v>
      </c>
    </row>
    <row r="19" spans="1:3">
      <c r="A19" s="15">
        <v>7</v>
      </c>
      <c r="B19" s="15" t="s">
        <v>183</v>
      </c>
      <c r="C19" s="15" t="s">
        <v>184</v>
      </c>
    </row>
    <row r="20" spans="1:3">
      <c r="A20" s="15">
        <v>8</v>
      </c>
      <c r="B20" s="15" t="s">
        <v>185</v>
      </c>
      <c r="C20" s="15" t="s">
        <v>186</v>
      </c>
    </row>
    <row r="21" spans="1:3">
      <c r="A21" s="15">
        <v>8</v>
      </c>
      <c r="B21" s="15" t="s">
        <v>187</v>
      </c>
      <c r="C21" s="15" t="s">
        <v>188</v>
      </c>
    </row>
    <row r="22" spans="1:3">
      <c r="A22" s="15">
        <v>9</v>
      </c>
      <c r="B22" s="15" t="s">
        <v>189</v>
      </c>
      <c r="C22" s="15" t="s">
        <v>190</v>
      </c>
    </row>
    <row r="23" spans="1:3">
      <c r="A23" s="15">
        <v>9</v>
      </c>
      <c r="B23" s="15" t="s">
        <v>191</v>
      </c>
      <c r="C23" s="15" t="s">
        <v>192</v>
      </c>
    </row>
    <row r="24" spans="1:3">
      <c r="A24" s="15">
        <v>10</v>
      </c>
      <c r="B24" s="15" t="s">
        <v>193</v>
      </c>
      <c r="C24" s="15" t="s">
        <v>194</v>
      </c>
    </row>
    <row r="25" spans="1:3">
      <c r="A25" s="15">
        <v>10</v>
      </c>
      <c r="B25" s="15" t="s">
        <v>195</v>
      </c>
      <c r="C25" s="15" t="s">
        <v>196</v>
      </c>
    </row>
    <row r="26" spans="1:3">
      <c r="A26" s="15">
        <v>11</v>
      </c>
      <c r="B26" s="15" t="s">
        <v>197</v>
      </c>
      <c r="C26" s="15" t="s">
        <v>198</v>
      </c>
    </row>
    <row r="27" spans="1:3">
      <c r="A27" s="15">
        <v>11</v>
      </c>
      <c r="B27" s="15" t="s">
        <v>199</v>
      </c>
      <c r="C27" s="15" t="s">
        <v>200</v>
      </c>
    </row>
    <row r="28" spans="1:3">
      <c r="A28" s="15">
        <v>12</v>
      </c>
      <c r="B28" s="15" t="s">
        <v>201</v>
      </c>
      <c r="C28" s="15" t="s">
        <v>202</v>
      </c>
    </row>
    <row r="29" spans="1:3">
      <c r="A29" s="15">
        <v>12</v>
      </c>
      <c r="B29" s="15" t="s">
        <v>203</v>
      </c>
      <c r="C29" s="15" t="s">
        <v>204</v>
      </c>
    </row>
    <row r="30" spans="1:3">
      <c r="A30" s="15">
        <v>13</v>
      </c>
      <c r="B30" s="15" t="s">
        <v>205</v>
      </c>
      <c r="C30" s="15" t="s">
        <v>206</v>
      </c>
    </row>
    <row r="31" spans="1:3">
      <c r="A31" s="15">
        <v>13</v>
      </c>
      <c r="B31" s="15" t="s">
        <v>207</v>
      </c>
      <c r="C31" s="15" t="s">
        <v>208</v>
      </c>
    </row>
    <row r="32" spans="1:3">
      <c r="A32" s="15">
        <v>14</v>
      </c>
      <c r="B32" s="15" t="s">
        <v>209</v>
      </c>
      <c r="C32" s="15" t="s">
        <v>210</v>
      </c>
    </row>
    <row r="33" spans="1:3">
      <c r="A33" s="15">
        <v>14</v>
      </c>
      <c r="B33" s="15" t="s">
        <v>211</v>
      </c>
      <c r="C33" s="15" t="s">
        <v>212</v>
      </c>
    </row>
    <row r="34" spans="1:3">
      <c r="A34" s="15">
        <v>15</v>
      </c>
      <c r="B34" s="15" t="s">
        <v>213</v>
      </c>
      <c r="C34" s="15" t="s">
        <v>214</v>
      </c>
    </row>
    <row r="35" spans="1:3">
      <c r="A35" s="15">
        <v>15</v>
      </c>
      <c r="B35" s="15" t="s">
        <v>215</v>
      </c>
      <c r="C35" s="15" t="s">
        <v>216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9">
    <tabColor theme="5" tint="0.39997558519241921"/>
  </sheetPr>
  <dimension ref="A1:F35"/>
  <sheetViews>
    <sheetView zoomScale="130" zoomScaleNormal="130" workbookViewId="0">
      <pane ySplit="5" topLeftCell="A6" activePane="bottomLeft" state="frozen"/>
      <selection activeCell="E33" sqref="E33"/>
      <selection pane="bottomLeft" activeCell="E8" sqref="E8"/>
    </sheetView>
  </sheetViews>
  <sheetFormatPr defaultColWidth="18.7109375" defaultRowHeight="15"/>
  <cols>
    <col min="1" max="3" width="18.7109375" style="15"/>
  </cols>
  <sheetData>
    <row r="1" spans="1:6" s="27" customFormat="1" ht="39.950000000000003" customHeight="1">
      <c r="A1" s="26" t="s">
        <v>350</v>
      </c>
      <c r="B1" s="28"/>
      <c r="C1" s="28"/>
    </row>
    <row r="2" spans="1:6">
      <c r="A2" s="30" t="s">
        <v>346</v>
      </c>
      <c r="B2" s="17"/>
      <c r="C2" s="17"/>
      <c r="D2" s="17"/>
      <c r="E2" s="17"/>
      <c r="F2" s="17"/>
    </row>
    <row r="3" spans="1:6">
      <c r="A3" s="30" t="s">
        <v>347</v>
      </c>
      <c r="B3" s="17"/>
      <c r="C3" s="17"/>
      <c r="D3" s="17"/>
      <c r="E3" s="17"/>
      <c r="F3" s="17"/>
    </row>
    <row r="4" spans="1:6">
      <c r="A4" s="30" t="s">
        <v>345</v>
      </c>
      <c r="B4" s="17"/>
      <c r="C4" s="17"/>
      <c r="D4" s="17"/>
      <c r="E4" s="17"/>
      <c r="F4" s="17"/>
    </row>
    <row r="5" spans="1:6">
      <c r="A5" s="15" t="s">
        <v>344</v>
      </c>
      <c r="B5" s="15" t="s">
        <v>151</v>
      </c>
      <c r="C5" s="15" t="s">
        <v>152</v>
      </c>
    </row>
    <row r="6" spans="1:6">
      <c r="A6" s="15">
        <v>1</v>
      </c>
      <c r="B6" s="15" t="s">
        <v>217</v>
      </c>
      <c r="C6" s="15" t="s">
        <v>229</v>
      </c>
    </row>
    <row r="7" spans="1:6">
      <c r="A7" s="15">
        <v>1</v>
      </c>
      <c r="B7" s="15" t="s">
        <v>158</v>
      </c>
      <c r="C7" s="15" t="s">
        <v>156</v>
      </c>
    </row>
    <row r="8" spans="1:6">
      <c r="A8" s="15">
        <v>2</v>
      </c>
      <c r="B8" s="15" t="s">
        <v>218</v>
      </c>
      <c r="C8" s="15" t="s">
        <v>230</v>
      </c>
    </row>
    <row r="9" spans="1:6">
      <c r="A9" s="15">
        <v>2</v>
      </c>
      <c r="B9" s="15" t="s">
        <v>219</v>
      </c>
      <c r="C9" s="15" t="s">
        <v>231</v>
      </c>
    </row>
    <row r="10" spans="1:6">
      <c r="A10" s="15">
        <v>3</v>
      </c>
      <c r="B10" s="15" t="s">
        <v>220</v>
      </c>
      <c r="C10" s="15" t="s">
        <v>232</v>
      </c>
    </row>
    <row r="11" spans="1:6">
      <c r="A11" s="15">
        <v>3</v>
      </c>
      <c r="B11" s="15" t="s">
        <v>221</v>
      </c>
      <c r="C11" s="15" t="s">
        <v>233</v>
      </c>
    </row>
    <row r="12" spans="1:6">
      <c r="A12" s="15">
        <v>4</v>
      </c>
      <c r="B12" s="15" t="s">
        <v>222</v>
      </c>
      <c r="C12" s="15" t="s">
        <v>234</v>
      </c>
    </row>
    <row r="13" spans="1:6">
      <c r="A13" s="15">
        <v>4</v>
      </c>
      <c r="B13" s="15" t="s">
        <v>223</v>
      </c>
      <c r="C13" s="15" t="s">
        <v>235</v>
      </c>
    </row>
    <row r="14" spans="1:6">
      <c r="A14" s="15">
        <v>5</v>
      </c>
      <c r="B14" s="15" t="s">
        <v>224</v>
      </c>
      <c r="C14" s="15" t="s">
        <v>236</v>
      </c>
    </row>
    <row r="15" spans="1:6">
      <c r="A15" s="15">
        <v>5</v>
      </c>
      <c r="B15" s="15" t="s">
        <v>225</v>
      </c>
      <c r="C15" s="15" t="s">
        <v>237</v>
      </c>
    </row>
    <row r="16" spans="1:6">
      <c r="A16" s="15">
        <v>6</v>
      </c>
      <c r="B16" s="15" t="s">
        <v>226</v>
      </c>
      <c r="C16" s="15" t="s">
        <v>238</v>
      </c>
    </row>
    <row r="17" spans="1:3">
      <c r="A17" s="15">
        <v>6</v>
      </c>
      <c r="B17" s="15" t="s">
        <v>227</v>
      </c>
      <c r="C17" s="15" t="s">
        <v>239</v>
      </c>
    </row>
    <row r="18" spans="1:3">
      <c r="A18" s="15">
        <v>7</v>
      </c>
      <c r="B18" s="15" t="s">
        <v>228</v>
      </c>
      <c r="C18" s="15" t="s">
        <v>240</v>
      </c>
    </row>
    <row r="19" spans="1:3">
      <c r="A19" s="15">
        <v>7</v>
      </c>
      <c r="B19" s="15" t="s">
        <v>241</v>
      </c>
      <c r="C19" s="15" t="s">
        <v>242</v>
      </c>
    </row>
    <row r="20" spans="1:3">
      <c r="A20" s="15">
        <v>8</v>
      </c>
      <c r="B20" s="15" t="s">
        <v>243</v>
      </c>
      <c r="C20" s="15" t="s">
        <v>244</v>
      </c>
    </row>
    <row r="21" spans="1:3">
      <c r="A21" s="15">
        <v>8</v>
      </c>
      <c r="B21" s="15" t="s">
        <v>245</v>
      </c>
      <c r="C21" s="15" t="s">
        <v>246</v>
      </c>
    </row>
    <row r="22" spans="1:3">
      <c r="A22" s="15">
        <v>9</v>
      </c>
      <c r="B22" s="15" t="s">
        <v>247</v>
      </c>
      <c r="C22" s="15" t="s">
        <v>248</v>
      </c>
    </row>
    <row r="23" spans="1:3">
      <c r="A23" s="15">
        <v>9</v>
      </c>
      <c r="B23" s="15" t="s">
        <v>249</v>
      </c>
      <c r="C23" s="15" t="s">
        <v>250</v>
      </c>
    </row>
    <row r="24" spans="1:3">
      <c r="A24" s="15">
        <v>10</v>
      </c>
      <c r="B24" s="15" t="s">
        <v>251</v>
      </c>
      <c r="C24" s="15" t="s">
        <v>252</v>
      </c>
    </row>
    <row r="25" spans="1:3">
      <c r="A25" s="15">
        <v>10</v>
      </c>
      <c r="B25" s="15" t="s">
        <v>253</v>
      </c>
      <c r="C25" s="15" t="s">
        <v>254</v>
      </c>
    </row>
    <row r="26" spans="1:3">
      <c r="A26" s="15">
        <v>11</v>
      </c>
      <c r="B26" s="15" t="s">
        <v>255</v>
      </c>
      <c r="C26" s="15" t="s">
        <v>256</v>
      </c>
    </row>
    <row r="27" spans="1:3">
      <c r="A27" s="15">
        <v>11</v>
      </c>
      <c r="B27" s="15" t="s">
        <v>257</v>
      </c>
      <c r="C27" s="15" t="s">
        <v>258</v>
      </c>
    </row>
    <row r="28" spans="1:3">
      <c r="A28" s="15">
        <v>12</v>
      </c>
      <c r="B28" s="15" t="s">
        <v>259</v>
      </c>
      <c r="C28" s="15" t="s">
        <v>260</v>
      </c>
    </row>
    <row r="29" spans="1:3">
      <c r="A29" s="15">
        <v>12</v>
      </c>
      <c r="B29" s="15" t="s">
        <v>261</v>
      </c>
      <c r="C29" s="15" t="s">
        <v>262</v>
      </c>
    </row>
    <row r="30" spans="1:3">
      <c r="A30" s="15">
        <v>13</v>
      </c>
      <c r="B30" s="15" t="s">
        <v>263</v>
      </c>
      <c r="C30" s="15" t="s">
        <v>264</v>
      </c>
    </row>
    <row r="31" spans="1:3">
      <c r="A31" s="15">
        <v>13</v>
      </c>
      <c r="B31" s="15" t="s">
        <v>265</v>
      </c>
      <c r="C31" s="15" t="s">
        <v>266</v>
      </c>
    </row>
    <row r="32" spans="1:3">
      <c r="A32" s="15">
        <v>14</v>
      </c>
      <c r="B32" s="15" t="s">
        <v>267</v>
      </c>
      <c r="C32" s="15" t="s">
        <v>268</v>
      </c>
    </row>
    <row r="33" spans="1:3">
      <c r="A33" s="15">
        <v>14</v>
      </c>
      <c r="B33" s="15" t="s">
        <v>269</v>
      </c>
      <c r="C33" s="15" t="s">
        <v>270</v>
      </c>
    </row>
    <row r="34" spans="1:3">
      <c r="A34" s="15">
        <v>15</v>
      </c>
      <c r="B34" s="15" t="s">
        <v>271</v>
      </c>
      <c r="C34" s="15" t="s">
        <v>272</v>
      </c>
    </row>
    <row r="35" spans="1:3">
      <c r="A35" s="15">
        <v>15</v>
      </c>
      <c r="B35" s="15" t="s">
        <v>273</v>
      </c>
      <c r="C35" s="15" t="s">
        <v>274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12</vt:i4>
      </vt:variant>
    </vt:vector>
  </HeadingPairs>
  <TitlesOfParts>
    <vt:vector size="20" baseType="lpstr">
      <vt:lpstr>Включение макросов</vt:lpstr>
      <vt:lpstr>Версии</vt:lpstr>
      <vt:lpstr>Настройки</vt:lpstr>
      <vt:lpstr>Переменные</vt:lpstr>
      <vt:lpstr>Переменные таблиц</vt:lpstr>
      <vt:lpstr>Табл Спецификация</vt:lpstr>
      <vt:lpstr>Табл Test1</vt:lpstr>
      <vt:lpstr>Табл Test2</vt:lpstr>
      <vt:lpstr>copy_tables_to_word</vt:lpstr>
      <vt:lpstr>create_pdf</vt:lpstr>
      <vt:lpstr>merge_pdf</vt:lpstr>
      <vt:lpstr>merged_pdf_filename</vt:lpstr>
      <vt:lpstr>name_template</vt:lpstr>
      <vt:lpstr>open_dest_folder</vt:lpstr>
      <vt:lpstr>pdf_merge_program</vt:lpstr>
      <vt:lpstr>save_folder_path</vt:lpstr>
      <vt:lpstr>save_var_on_sync</vt:lpstr>
      <vt:lpstr>template_name</vt:lpstr>
      <vt:lpstr>template_path</vt:lpstr>
      <vt:lpstr>var_format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Roadsleadme</dc:creator>
  <cp:lastModifiedBy>Roa</cp:lastModifiedBy>
  <cp:lastPrinted>2022-11-20T17:39:03Z</cp:lastPrinted>
  <dcterms:created xsi:type="dcterms:W3CDTF">2022-11-11T17:35:35Z</dcterms:created>
  <dcterms:modified xsi:type="dcterms:W3CDTF">2022-12-17T19:40:14Z</dcterms:modified>
</cp:coreProperties>
</file>